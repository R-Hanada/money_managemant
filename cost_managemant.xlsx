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6" documentId="13_ncr:1_{B01D6116-F4DB-46BB-862F-A034B8FD710A}" xr6:coauthVersionLast="47" xr6:coauthVersionMax="47" xr10:uidLastSave="{CD0E7933-3EC4-4885-A657-FAB766A8249D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49" i="7" l="1"/>
  <c r="F649" i="7" s="1"/>
  <c r="E648" i="7"/>
  <c r="F648" i="7" s="1"/>
  <c r="E647" i="7"/>
  <c r="F647" i="7" s="1"/>
  <c r="E646" i="7"/>
  <c r="F646" i="7" s="1"/>
  <c r="E645" i="7"/>
  <c r="F645" i="7" s="1"/>
  <c r="E644" i="7"/>
  <c r="F644" i="7" s="1"/>
  <c r="E643" i="7"/>
  <c r="F643" i="7" s="1"/>
  <c r="E642" i="7"/>
  <c r="F642" i="7" s="1"/>
  <c r="E641" i="7"/>
  <c r="F641" i="7" s="1"/>
  <c r="E640" i="7"/>
  <c r="F640" i="7" s="1"/>
  <c r="E639" i="7"/>
  <c r="F639" i="7" s="1"/>
  <c r="E638" i="7"/>
  <c r="F638" i="7" s="1"/>
  <c r="E637" i="7"/>
  <c r="F637" i="7" s="1"/>
  <c r="E636" i="7"/>
  <c r="F636" i="7" s="1"/>
  <c r="E635" i="7"/>
  <c r="F635" i="7" s="1"/>
  <c r="E634" i="7"/>
  <c r="F634" i="7" s="1"/>
  <c r="E633" i="7"/>
  <c r="F633" i="7" s="1"/>
  <c r="E632" i="7"/>
  <c r="F632" i="7" s="1"/>
  <c r="E631" i="7"/>
  <c r="F631" i="7" s="1"/>
  <c r="E630" i="7"/>
  <c r="F630" i="7" s="1"/>
  <c r="E629" i="7"/>
  <c r="F629" i="7" s="1"/>
  <c r="E628" i="7"/>
  <c r="F628" i="7" s="1"/>
  <c r="E627" i="7"/>
  <c r="F627" i="7" s="1"/>
  <c r="E651" i="7" l="1"/>
  <c r="F651" i="7" s="1"/>
  <c r="F650" i="7"/>
  <c r="E650" i="7"/>
  <c r="F626" i="7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E613" i="7"/>
  <c r="F613" i="7" s="1"/>
  <c r="E612" i="7"/>
  <c r="F612" i="7" s="1"/>
  <c r="E611" i="7"/>
  <c r="F611" i="7" s="1"/>
  <c r="E610" i="7"/>
  <c r="F610" i="7" s="1"/>
  <c r="E609" i="7"/>
  <c r="F609" i="7" s="1"/>
  <c r="F608" i="7"/>
  <c r="E608" i="7"/>
  <c r="E607" i="7"/>
  <c r="F607" i="7" s="1"/>
  <c r="F606" i="7"/>
  <c r="E606" i="7"/>
  <c r="E605" i="7"/>
  <c r="F605" i="7" s="1"/>
  <c r="E604" i="7"/>
  <c r="F604" i="7" s="1"/>
  <c r="E603" i="7"/>
  <c r="F603" i="7" s="1"/>
  <c r="F602" i="7"/>
  <c r="E602" i="7"/>
  <c r="E601" i="7"/>
  <c r="F601" i="7" s="1"/>
  <c r="E600" i="7"/>
  <c r="F600" i="7" s="1"/>
  <c r="F599" i="7"/>
  <c r="E599" i="7"/>
  <c r="E598" i="7"/>
  <c r="F598" i="7" s="1"/>
  <c r="E597" i="7"/>
  <c r="F597" i="7" s="1"/>
  <c r="F596" i="7"/>
  <c r="E596" i="7"/>
  <c r="E595" i="7"/>
  <c r="F595" i="7" s="1"/>
  <c r="E594" i="7"/>
  <c r="F594" i="7" s="1"/>
  <c r="E593" i="7"/>
  <c r="F593" i="7" s="1"/>
  <c r="F592" i="7"/>
  <c r="E592" i="7"/>
  <c r="E591" i="7"/>
  <c r="F591" i="7" s="1"/>
  <c r="F590" i="7"/>
  <c r="E590" i="7"/>
  <c r="E589" i="7"/>
  <c r="F589" i="7" s="1"/>
  <c r="E588" i="7"/>
  <c r="F588" i="7" s="1"/>
  <c r="E587" i="7"/>
  <c r="F587" i="7" s="1"/>
  <c r="E586" i="7"/>
  <c r="F586" i="7" s="1"/>
  <c r="E585" i="7"/>
  <c r="F585" i="7" s="1"/>
  <c r="F584" i="7"/>
  <c r="E584" i="7"/>
  <c r="E583" i="7"/>
  <c r="F583" i="7" s="1"/>
  <c r="E582" i="7"/>
  <c r="F582" i="7" s="1"/>
  <c r="E581" i="7"/>
  <c r="F581" i="7" s="1"/>
  <c r="E580" i="7"/>
  <c r="F580" i="7" s="1"/>
  <c r="E579" i="7"/>
  <c r="F579" i="7" s="1"/>
  <c r="F578" i="7"/>
  <c r="E578" i="7"/>
  <c r="E577" i="7"/>
  <c r="F577" i="7" s="1"/>
  <c r="E576" i="7"/>
  <c r="F576" i="7" s="1"/>
  <c r="E575" i="7"/>
  <c r="F575" i="7" s="1"/>
  <c r="E574" i="7"/>
  <c r="F574" i="7" s="1"/>
  <c r="E573" i="7"/>
  <c r="F573" i="7" s="1"/>
  <c r="F572" i="7"/>
  <c r="E572" i="7"/>
  <c r="E571" i="7"/>
  <c r="F571" i="7" s="1"/>
  <c r="F570" i="7"/>
  <c r="E570" i="7"/>
  <c r="E569" i="7"/>
  <c r="F569" i="7" s="1"/>
  <c r="E568" i="7"/>
  <c r="F568" i="7" s="1"/>
  <c r="E567" i="7"/>
  <c r="F567" i="7" s="1"/>
  <c r="F566" i="7"/>
  <c r="E566" i="7"/>
  <c r="E565" i="7"/>
  <c r="F565" i="7" s="1"/>
  <c r="E564" i="7"/>
  <c r="F564" i="7" s="1"/>
  <c r="F563" i="7"/>
  <c r="E563" i="7"/>
  <c r="E562" i="7"/>
  <c r="F562" i="7" s="1"/>
  <c r="E561" i="7"/>
  <c r="F561" i="7" s="1"/>
  <c r="F560" i="7"/>
  <c r="E560" i="7"/>
  <c r="E559" i="7"/>
  <c r="F559" i="7" s="1"/>
  <c r="E558" i="7"/>
  <c r="F558" i="7" s="1"/>
  <c r="E557" i="7"/>
  <c r="F557" i="7" s="1"/>
  <c r="F556" i="7"/>
  <c r="E556" i="7"/>
  <c r="E555" i="7"/>
  <c r="F555" i="7" s="1"/>
  <c r="F554" i="7"/>
  <c r="E554" i="7"/>
  <c r="E553" i="7"/>
  <c r="F553" i="7" s="1"/>
  <c r="E552" i="7"/>
  <c r="F552" i="7" s="1"/>
  <c r="E551" i="7"/>
  <c r="F551" i="7" s="1"/>
  <c r="E550" i="7"/>
  <c r="F550" i="7" s="1"/>
  <c r="E549" i="7"/>
  <c r="F549" i="7" s="1"/>
  <c r="F548" i="7"/>
  <c r="E548" i="7"/>
  <c r="E547" i="7"/>
  <c r="F547" i="7" s="1"/>
  <c r="E546" i="7"/>
  <c r="F546" i="7" s="1"/>
  <c r="E545" i="7"/>
  <c r="F545" i="7" s="1"/>
  <c r="E544" i="7"/>
  <c r="F544" i="7" s="1"/>
  <c r="E543" i="7"/>
  <c r="F543" i="7" s="1"/>
  <c r="F542" i="7"/>
  <c r="E542" i="7"/>
  <c r="E541" i="7"/>
  <c r="F541" i="7" s="1"/>
  <c r="E540" i="7"/>
  <c r="F540" i="7" s="1"/>
  <c r="E539" i="7"/>
  <c r="F539" i="7" s="1"/>
  <c r="E538" i="7"/>
  <c r="F538" i="7" s="1"/>
  <c r="E537" i="7"/>
  <c r="F537" i="7" s="1"/>
  <c r="F536" i="7"/>
  <c r="E536" i="7"/>
  <c r="E535" i="7"/>
  <c r="F535" i="7" s="1"/>
  <c r="F534" i="7"/>
  <c r="E534" i="7"/>
  <c r="E533" i="7"/>
  <c r="F533" i="7" s="1"/>
  <c r="E532" i="7"/>
  <c r="F532" i="7" s="1"/>
  <c r="E531" i="7"/>
  <c r="F531" i="7" s="1"/>
  <c r="F530" i="7"/>
  <c r="E530" i="7"/>
  <c r="E529" i="7"/>
  <c r="F529" i="7" s="1"/>
  <c r="E528" i="7"/>
  <c r="F528" i="7" s="1"/>
  <c r="F527" i="7"/>
  <c r="E527" i="7"/>
  <c r="E526" i="7"/>
  <c r="F526" i="7" s="1"/>
  <c r="E525" i="7"/>
  <c r="F525" i="7" s="1"/>
  <c r="F524" i="7"/>
  <c r="E524" i="7"/>
  <c r="E523" i="7"/>
  <c r="F523" i="7" s="1"/>
  <c r="F522" i="7"/>
  <c r="E522" i="7"/>
  <c r="E521" i="7"/>
  <c r="F521" i="7" s="1"/>
  <c r="E520" i="7"/>
  <c r="F520" i="7" s="1"/>
  <c r="G519" i="7"/>
  <c r="E519" i="7"/>
  <c r="F519" i="7" s="1"/>
  <c r="E518" i="7"/>
  <c r="F518" i="7" s="1"/>
  <c r="E517" i="7"/>
  <c r="F517" i="7" s="1"/>
  <c r="E516" i="7"/>
  <c r="F516" i="7" s="1"/>
  <c r="E515" i="7"/>
  <c r="F515" i="7" s="1"/>
  <c r="F514" i="7"/>
  <c r="E514" i="7"/>
  <c r="E513" i="7"/>
  <c r="F513" i="7" s="1"/>
  <c r="E512" i="7"/>
  <c r="F512" i="7" s="1"/>
  <c r="E511" i="7"/>
  <c r="F511" i="7" s="1"/>
  <c r="E510" i="7"/>
  <c r="F510" i="7" s="1"/>
  <c r="E509" i="7"/>
  <c r="F509" i="7" s="1"/>
  <c r="F508" i="7"/>
  <c r="E508" i="7"/>
  <c r="E507" i="7"/>
  <c r="F507" i="7" s="1"/>
  <c r="E506" i="7"/>
  <c r="F506" i="7" s="1"/>
  <c r="E505" i="7"/>
  <c r="F505" i="7" s="1"/>
  <c r="E504" i="7"/>
  <c r="F504" i="7" s="1"/>
  <c r="E503" i="7"/>
  <c r="F503" i="7" s="1"/>
  <c r="F502" i="7"/>
  <c r="E502" i="7"/>
  <c r="E501" i="7"/>
  <c r="F501" i="7" s="1"/>
  <c r="E500" i="7"/>
  <c r="F500" i="7" s="1"/>
  <c r="F499" i="7"/>
  <c r="E499" i="7"/>
  <c r="E498" i="7"/>
  <c r="F498" i="7" s="1"/>
  <c r="E497" i="7"/>
  <c r="F497" i="7" s="1"/>
  <c r="F496" i="7"/>
  <c r="E496" i="7"/>
  <c r="E495" i="7"/>
  <c r="F495" i="7" s="1"/>
  <c r="E494" i="7"/>
  <c r="F494" i="7" s="1"/>
  <c r="E493" i="7"/>
  <c r="F493" i="7" s="1"/>
  <c r="F492" i="7"/>
  <c r="E492" i="7"/>
  <c r="E491" i="7"/>
  <c r="F491" i="7" s="1"/>
  <c r="F490" i="7"/>
  <c r="E490" i="7"/>
  <c r="E489" i="7"/>
  <c r="F489" i="7" s="1"/>
  <c r="E488" i="7"/>
  <c r="F488" i="7" s="1"/>
  <c r="E487" i="7"/>
  <c r="F487" i="7" s="1"/>
  <c r="E486" i="7"/>
  <c r="F486" i="7" s="1"/>
  <c r="G485" i="7"/>
  <c r="G486" i="7" s="1"/>
  <c r="F485" i="7"/>
  <c r="E485" i="7"/>
  <c r="E484" i="7"/>
  <c r="F484" i="7" s="1"/>
  <c r="E483" i="7"/>
  <c r="F483" i="7" s="1"/>
  <c r="E482" i="7"/>
  <c r="F482" i="7" s="1"/>
  <c r="F481" i="7"/>
  <c r="E481" i="7"/>
  <c r="E480" i="7"/>
  <c r="F480" i="7" s="1"/>
  <c r="F479" i="7"/>
  <c r="E479" i="7"/>
  <c r="E478" i="7"/>
  <c r="F478" i="7" s="1"/>
  <c r="E477" i="7"/>
  <c r="F477" i="7" s="1"/>
  <c r="E476" i="7"/>
  <c r="F476" i="7" s="1"/>
  <c r="E475" i="7"/>
  <c r="F475" i="7" s="1"/>
  <c r="E474" i="7"/>
  <c r="F474" i="7" s="1"/>
  <c r="F473" i="7"/>
  <c r="E473" i="7"/>
  <c r="E472" i="7"/>
  <c r="F472" i="7" s="1"/>
  <c r="E471" i="7"/>
  <c r="F471" i="7" s="1"/>
  <c r="E470" i="7"/>
  <c r="F470" i="7" s="1"/>
  <c r="E469" i="7"/>
  <c r="F469" i="7" s="1"/>
  <c r="E468" i="7"/>
  <c r="F468" i="7" s="1"/>
  <c r="F467" i="7"/>
  <c r="E467" i="7"/>
  <c r="E466" i="7"/>
  <c r="F466" i="7" s="1"/>
  <c r="E465" i="7"/>
  <c r="F465" i="7" s="1"/>
  <c r="F464" i="7"/>
  <c r="E464" i="7"/>
  <c r="E463" i="7"/>
  <c r="F463" i="7" s="1"/>
  <c r="E462" i="7"/>
  <c r="F462" i="7" s="1"/>
  <c r="F461" i="7"/>
  <c r="E461" i="7"/>
  <c r="E460" i="7"/>
  <c r="F460" i="7" s="1"/>
  <c r="E459" i="7"/>
  <c r="F459" i="7" s="1"/>
  <c r="E458" i="7"/>
  <c r="F458" i="7" s="1"/>
  <c r="F457" i="7"/>
  <c r="E457" i="7"/>
  <c r="E456" i="7"/>
  <c r="F456" i="7" s="1"/>
  <c r="F455" i="7"/>
  <c r="E455" i="7"/>
  <c r="E454" i="7"/>
  <c r="F454" i="7" s="1"/>
  <c r="E453" i="7"/>
  <c r="F453" i="7" s="1"/>
  <c r="E452" i="7"/>
  <c r="F452" i="7" s="1"/>
  <c r="E451" i="7"/>
  <c r="F451" i="7" s="1"/>
  <c r="F450" i="7"/>
  <c r="E450" i="7"/>
  <c r="F449" i="7"/>
  <c r="E449" i="7"/>
  <c r="E448" i="7"/>
  <c r="F448" i="7" s="1"/>
  <c r="E447" i="7"/>
  <c r="F447" i="7" s="1"/>
  <c r="E446" i="7"/>
  <c r="F446" i="7" s="1"/>
  <c r="E445" i="7"/>
  <c r="F445" i="7" s="1"/>
  <c r="E444" i="7"/>
  <c r="F444" i="7" s="1"/>
  <c r="F443" i="7"/>
  <c r="E443" i="7"/>
  <c r="E442" i="7"/>
  <c r="F442" i="7" s="1"/>
  <c r="E441" i="7"/>
  <c r="F441" i="7" s="1"/>
  <c r="E440" i="7"/>
  <c r="F440" i="7" s="1"/>
  <c r="E439" i="7"/>
  <c r="F439" i="7" s="1"/>
  <c r="E438" i="7"/>
  <c r="F438" i="7" s="1"/>
  <c r="F437" i="7"/>
  <c r="E437" i="7"/>
  <c r="E436" i="7"/>
  <c r="F436" i="7" s="1"/>
  <c r="E435" i="7"/>
  <c r="F435" i="7" s="1"/>
  <c r="E434" i="7"/>
  <c r="F434" i="7" s="1"/>
  <c r="E433" i="7"/>
  <c r="F433" i="7" s="1"/>
  <c r="E432" i="7"/>
  <c r="F432" i="7" s="1"/>
  <c r="F431" i="7"/>
  <c r="E431" i="7"/>
  <c r="E430" i="7"/>
  <c r="F430" i="7" s="1"/>
  <c r="E429" i="7"/>
  <c r="F429" i="7" s="1"/>
  <c r="F428" i="7"/>
  <c r="E428" i="7"/>
  <c r="E427" i="7"/>
  <c r="F427" i="7" s="1"/>
  <c r="E426" i="7"/>
  <c r="F426" i="7" s="1"/>
  <c r="F425" i="7"/>
  <c r="E425" i="7"/>
  <c r="E424" i="7"/>
  <c r="F424" i="7" s="1"/>
  <c r="E423" i="7"/>
  <c r="F423" i="7" s="1"/>
  <c r="E422" i="7"/>
  <c r="F422" i="7" s="1"/>
  <c r="F421" i="7"/>
  <c r="E421" i="7"/>
  <c r="E420" i="7"/>
  <c r="F420" i="7" s="1"/>
  <c r="F419" i="7"/>
  <c r="E419" i="7"/>
  <c r="E418" i="7"/>
  <c r="F418" i="7" s="1"/>
  <c r="E417" i="7"/>
  <c r="F417" i="7" s="1"/>
  <c r="E416" i="7"/>
  <c r="F416" i="7" s="1"/>
  <c r="E415" i="7"/>
  <c r="F415" i="7" s="1"/>
  <c r="F414" i="7"/>
  <c r="E414" i="7"/>
  <c r="F413" i="7"/>
  <c r="E413" i="7"/>
  <c r="E412" i="7"/>
  <c r="F412" i="7" s="1"/>
  <c r="E411" i="7"/>
  <c r="F411" i="7" s="1"/>
  <c r="E410" i="7"/>
  <c r="F410" i="7" s="1"/>
  <c r="E409" i="7"/>
  <c r="F409" i="7" s="1"/>
  <c r="E408" i="7"/>
  <c r="F408" i="7" s="1"/>
  <c r="F407" i="7"/>
  <c r="E407" i="7"/>
  <c r="E406" i="7"/>
  <c r="F406" i="7" s="1"/>
  <c r="E405" i="7"/>
  <c r="F405" i="7" s="1"/>
  <c r="E404" i="7"/>
  <c r="F404" i="7" s="1"/>
  <c r="E403" i="7"/>
  <c r="F403" i="7" s="1"/>
  <c r="E402" i="7"/>
  <c r="F402" i="7" s="1"/>
  <c r="F401" i="7"/>
  <c r="E401" i="7"/>
  <c r="E400" i="7"/>
  <c r="F400" i="7" s="1"/>
  <c r="E399" i="7"/>
  <c r="F399" i="7" s="1"/>
  <c r="E398" i="7"/>
  <c r="F398" i="7" s="1"/>
  <c r="E397" i="7"/>
  <c r="F397" i="7" s="1"/>
  <c r="F396" i="7"/>
  <c r="E396" i="7"/>
  <c r="F395" i="7"/>
  <c r="E395" i="7"/>
  <c r="E394" i="7"/>
  <c r="F394" i="7" s="1"/>
  <c r="E393" i="7"/>
  <c r="F393" i="7" s="1"/>
  <c r="F392" i="7"/>
  <c r="E392" i="7"/>
  <c r="E391" i="7"/>
  <c r="F391" i="7" s="1"/>
  <c r="E390" i="7"/>
  <c r="F390" i="7" s="1"/>
  <c r="F389" i="7"/>
  <c r="E389" i="7"/>
  <c r="E388" i="7"/>
  <c r="F388" i="7" s="1"/>
  <c r="E387" i="7"/>
  <c r="F387" i="7" s="1"/>
  <c r="E386" i="7"/>
  <c r="F386" i="7" s="1"/>
  <c r="F385" i="7"/>
  <c r="E385" i="7"/>
  <c r="E384" i="7"/>
  <c r="F384" i="7" s="1"/>
  <c r="F383" i="7"/>
  <c r="E383" i="7"/>
  <c r="E382" i="7"/>
  <c r="F382" i="7" s="1"/>
  <c r="E381" i="7"/>
  <c r="F381" i="7" s="1"/>
  <c r="E380" i="7"/>
  <c r="F380" i="7" s="1"/>
  <c r="G379" i="7"/>
  <c r="E379" i="7"/>
  <c r="F379" i="7" s="1"/>
  <c r="E378" i="7"/>
  <c r="F378" i="7" s="1"/>
  <c r="E377" i="7"/>
  <c r="F377" i="7" s="1"/>
  <c r="F376" i="7"/>
  <c r="E376" i="7"/>
  <c r="E375" i="7"/>
  <c r="F375" i="7" s="1"/>
  <c r="E374" i="7"/>
  <c r="F374" i="7" s="1"/>
  <c r="E373" i="7"/>
  <c r="F373" i="7" s="1"/>
  <c r="F372" i="7"/>
  <c r="E372" i="7"/>
  <c r="E371" i="7"/>
  <c r="F371" i="7" s="1"/>
  <c r="F370" i="7"/>
  <c r="E370" i="7"/>
  <c r="E369" i="7"/>
  <c r="F369" i="7" s="1"/>
  <c r="E368" i="7"/>
  <c r="F368" i="7" s="1"/>
  <c r="F367" i="7"/>
  <c r="E367" i="7"/>
  <c r="E366" i="7"/>
  <c r="F366" i="7" s="1"/>
  <c r="E365" i="7"/>
  <c r="F365" i="7" s="1"/>
  <c r="F364" i="7"/>
  <c r="E364" i="7"/>
  <c r="E363" i="7"/>
  <c r="F363" i="7" s="1"/>
  <c r="E362" i="7"/>
  <c r="F362" i="7" s="1"/>
  <c r="E361" i="7"/>
  <c r="F361" i="7" s="1"/>
  <c r="E360" i="7"/>
  <c r="F360" i="7" s="1"/>
  <c r="E359" i="7"/>
  <c r="F359" i="7" s="1"/>
  <c r="F358" i="7"/>
  <c r="E358" i="7"/>
  <c r="E357" i="7"/>
  <c r="F357" i="7" s="1"/>
  <c r="E356" i="7"/>
  <c r="F356" i="7" s="1"/>
  <c r="F355" i="7"/>
  <c r="E355" i="7"/>
  <c r="F354" i="7"/>
  <c r="E354" i="7"/>
  <c r="E353" i="7"/>
  <c r="F353" i="7" s="1"/>
  <c r="F352" i="7"/>
  <c r="E352" i="7"/>
  <c r="E351" i="7"/>
  <c r="F351" i="7" s="1"/>
  <c r="E350" i="7"/>
  <c r="F350" i="7" s="1"/>
  <c r="E349" i="7"/>
  <c r="F349" i="7" s="1"/>
  <c r="E348" i="7"/>
  <c r="F348" i="7" s="1"/>
  <c r="F347" i="7"/>
  <c r="E346" i="7"/>
  <c r="F346" i="7" s="1"/>
  <c r="E345" i="7"/>
  <c r="F345" i="7" s="1"/>
  <c r="E344" i="7"/>
  <c r="F344" i="7" s="1"/>
  <c r="E343" i="7"/>
  <c r="F343" i="7" s="1"/>
  <c r="E342" i="7"/>
  <c r="F342" i="7" s="1"/>
  <c r="F341" i="7"/>
  <c r="E341" i="7"/>
  <c r="E340" i="7"/>
  <c r="F340" i="7" s="1"/>
  <c r="E339" i="7"/>
  <c r="F339" i="7" s="1"/>
  <c r="E338" i="7"/>
  <c r="F338" i="7" s="1"/>
  <c r="E337" i="7"/>
  <c r="F337" i="7" s="1"/>
  <c r="E336" i="7"/>
  <c r="F336" i="7" s="1"/>
  <c r="F335" i="7"/>
  <c r="E334" i="7"/>
  <c r="F334" i="7" s="1"/>
  <c r="F333" i="7"/>
  <c r="E333" i="7"/>
  <c r="F332" i="7"/>
  <c r="E332" i="7"/>
  <c r="E331" i="7"/>
  <c r="F331" i="7" s="1"/>
  <c r="E330" i="7"/>
  <c r="F330" i="7" s="1"/>
  <c r="E329" i="7"/>
  <c r="F329" i="7" s="1"/>
  <c r="E328" i="7"/>
  <c r="F328" i="7" s="1"/>
  <c r="F327" i="7"/>
  <c r="E327" i="7"/>
  <c r="E326" i="7"/>
  <c r="F326" i="7" s="1"/>
  <c r="E325" i="7"/>
  <c r="F325" i="7" s="1"/>
  <c r="F324" i="7"/>
  <c r="E324" i="7"/>
  <c r="E323" i="7"/>
  <c r="F323" i="7" s="1"/>
  <c r="E322" i="7"/>
  <c r="F322" i="7" s="1"/>
  <c r="F321" i="7"/>
  <c r="E321" i="7"/>
  <c r="E320" i="7"/>
  <c r="F320" i="7" s="1"/>
  <c r="F319" i="7"/>
  <c r="E319" i="7"/>
  <c r="E318" i="7"/>
  <c r="F318" i="7" s="1"/>
  <c r="E317" i="7"/>
  <c r="F317" i="7" s="1"/>
  <c r="E316" i="7"/>
  <c r="F316" i="7" s="1"/>
  <c r="F315" i="7"/>
  <c r="E315" i="7"/>
  <c r="E314" i="7"/>
  <c r="F314" i="7" s="1"/>
  <c r="E313" i="7"/>
  <c r="F313" i="7" s="1"/>
  <c r="E312" i="7"/>
  <c r="F312" i="7" s="1"/>
  <c r="F311" i="7"/>
  <c r="E311" i="7"/>
  <c r="E310" i="7"/>
  <c r="F310" i="7" s="1"/>
  <c r="F309" i="7"/>
  <c r="E309" i="7"/>
  <c r="E308" i="7"/>
  <c r="F308" i="7" s="1"/>
  <c r="E307" i="7"/>
  <c r="F307" i="7" s="1"/>
  <c r="F306" i="7"/>
  <c r="E306" i="7"/>
  <c r="E305" i="7"/>
  <c r="F305" i="7" s="1"/>
  <c r="E304" i="7"/>
  <c r="F304" i="7" s="1"/>
  <c r="F303" i="7"/>
  <c r="E303" i="7"/>
  <c r="E302" i="7"/>
  <c r="F302" i="7" s="1"/>
  <c r="E301" i="7"/>
  <c r="F301" i="7" s="1"/>
  <c r="E300" i="7"/>
  <c r="F300" i="7" s="1"/>
  <c r="E299" i="7"/>
  <c r="F299" i="7" s="1"/>
  <c r="E298" i="7"/>
  <c r="F298" i="7" s="1"/>
  <c r="F297" i="7"/>
  <c r="E297" i="7"/>
  <c r="E296" i="7"/>
  <c r="F296" i="7" s="1"/>
  <c r="E295" i="7"/>
  <c r="F295" i="7" s="1"/>
  <c r="E294" i="7"/>
  <c r="F294" i="7" s="1"/>
  <c r="F293" i="7"/>
  <c r="E293" i="7"/>
  <c r="E292" i="7"/>
  <c r="F292" i="7" s="1"/>
  <c r="F291" i="7"/>
  <c r="E291" i="7"/>
  <c r="E290" i="7"/>
  <c r="F290" i="7" s="1"/>
  <c r="E289" i="7"/>
  <c r="F289" i="7" s="1"/>
  <c r="E288" i="7"/>
  <c r="F288" i="7" s="1"/>
  <c r="E287" i="7"/>
  <c r="F287" i="7" s="1"/>
  <c r="E286" i="7"/>
  <c r="F286" i="7" s="1"/>
  <c r="F285" i="7"/>
  <c r="E285" i="7"/>
  <c r="E284" i="7"/>
  <c r="F284" i="7" s="1"/>
  <c r="E283" i="7"/>
  <c r="F283" i="7" s="1"/>
  <c r="E282" i="7"/>
  <c r="F282" i="7" s="1"/>
  <c r="E281" i="7"/>
  <c r="F281" i="7" s="1"/>
  <c r="E280" i="7"/>
  <c r="F280" i="7" s="1"/>
  <c r="F279" i="7"/>
  <c r="E279" i="7"/>
  <c r="F278" i="7"/>
  <c r="E278" i="7"/>
  <c r="E277" i="7"/>
  <c r="F277" i="7" s="1"/>
  <c r="E276" i="7"/>
  <c r="F276" i="7" s="1"/>
  <c r="E275" i="7"/>
  <c r="F275" i="7" s="1"/>
  <c r="E274" i="7"/>
  <c r="F274" i="7" s="1"/>
  <c r="F273" i="7"/>
  <c r="E273" i="7"/>
  <c r="E272" i="7"/>
  <c r="F272" i="7" s="1"/>
  <c r="E271" i="7"/>
  <c r="F271" i="7" s="1"/>
  <c r="E270" i="7"/>
  <c r="F270" i="7" s="1"/>
  <c r="E269" i="7"/>
  <c r="F269" i="7" s="1"/>
  <c r="E268" i="7"/>
  <c r="F268" i="7" s="1"/>
  <c r="F267" i="7"/>
  <c r="E267" i="7"/>
  <c r="E266" i="7"/>
  <c r="F266" i="7" s="1"/>
  <c r="F265" i="7"/>
  <c r="E265" i="7"/>
  <c r="E264" i="7"/>
  <c r="F264" i="7" s="1"/>
  <c r="E263" i="7"/>
  <c r="F263" i="7" s="1"/>
  <c r="E262" i="7"/>
  <c r="F262" i="7" s="1"/>
  <c r="F261" i="7"/>
  <c r="E261" i="7"/>
  <c r="F260" i="7"/>
  <c r="E260" i="7"/>
  <c r="E259" i="7"/>
  <c r="F259" i="7" s="1"/>
  <c r="G258" i="7"/>
  <c r="E258" i="7"/>
  <c r="F258" i="7" s="1"/>
  <c r="F257" i="7"/>
  <c r="E257" i="7"/>
  <c r="G256" i="7"/>
  <c r="F256" i="7"/>
  <c r="E256" i="7"/>
  <c r="G255" i="7"/>
  <c r="E255" i="7"/>
  <c r="F255" i="7" s="1"/>
  <c r="G254" i="7"/>
  <c r="E254" i="7"/>
  <c r="F254" i="7" s="1"/>
  <c r="E253" i="7"/>
  <c r="F253" i="7" s="1"/>
  <c r="E252" i="7"/>
  <c r="F252" i="7" s="1"/>
  <c r="F251" i="7"/>
  <c r="E251" i="7"/>
  <c r="E250" i="7"/>
  <c r="F250" i="7" s="1"/>
  <c r="E249" i="7"/>
  <c r="F249" i="7" s="1"/>
  <c r="F248" i="7"/>
  <c r="E248" i="7"/>
  <c r="G247" i="7"/>
  <c r="F247" i="7"/>
  <c r="E247" i="7"/>
  <c r="E246" i="7"/>
  <c r="F246" i="7" s="1"/>
  <c r="E245" i="7"/>
  <c r="F245" i="7" s="1"/>
  <c r="E244" i="7"/>
  <c r="F244" i="7" s="1"/>
  <c r="G243" i="7"/>
  <c r="E243" i="7"/>
  <c r="F243" i="7" s="1"/>
  <c r="F242" i="7"/>
  <c r="E242" i="7"/>
  <c r="E241" i="7"/>
  <c r="F241" i="7" s="1"/>
  <c r="F240" i="7"/>
  <c r="E240" i="7"/>
  <c r="G239" i="7"/>
  <c r="E239" i="7"/>
  <c r="F239" i="7" s="1"/>
  <c r="E238" i="7"/>
  <c r="F238" i="7" s="1"/>
  <c r="E237" i="7"/>
  <c r="F237" i="7" s="1"/>
  <c r="F236" i="7"/>
  <c r="E236" i="7"/>
  <c r="E235" i="7"/>
  <c r="F235" i="7" s="1"/>
  <c r="E234" i="7"/>
  <c r="F234" i="7" s="1"/>
  <c r="E233" i="7"/>
  <c r="F233" i="7" s="1"/>
  <c r="E232" i="7"/>
  <c r="F232" i="7" s="1"/>
  <c r="E231" i="7"/>
  <c r="F231" i="7" s="1"/>
  <c r="F230" i="7"/>
  <c r="E230" i="7"/>
  <c r="E229" i="7"/>
  <c r="F229" i="7" s="1"/>
  <c r="E228" i="7"/>
  <c r="F228" i="7" s="1"/>
  <c r="E227" i="7"/>
  <c r="F227" i="7" s="1"/>
  <c r="E226" i="7"/>
  <c r="F226" i="7" s="1"/>
  <c r="F225" i="7"/>
  <c r="E225" i="7"/>
  <c r="F224" i="7"/>
  <c r="E224" i="7"/>
  <c r="E223" i="7"/>
  <c r="F223" i="7" s="1"/>
  <c r="E222" i="7"/>
  <c r="F222" i="7" s="1"/>
  <c r="F221" i="7"/>
  <c r="E221" i="7"/>
  <c r="E220" i="7"/>
  <c r="F220" i="7" s="1"/>
  <c r="E219" i="7"/>
  <c r="F219" i="7" s="1"/>
  <c r="F218" i="7"/>
  <c r="E218" i="7"/>
  <c r="E217" i="7"/>
  <c r="F217" i="7" s="1"/>
  <c r="E216" i="7"/>
  <c r="F216" i="7" s="1"/>
  <c r="E215" i="7"/>
  <c r="F215" i="7" s="1"/>
  <c r="F214" i="7"/>
  <c r="E214" i="7"/>
  <c r="E213" i="7"/>
  <c r="F213" i="7" s="1"/>
  <c r="F212" i="7"/>
  <c r="E212" i="7"/>
  <c r="E211" i="7"/>
  <c r="F211" i="7" s="1"/>
  <c r="E210" i="7"/>
  <c r="F210" i="7" s="1"/>
  <c r="E209" i="7"/>
  <c r="F209" i="7" s="1"/>
  <c r="E208" i="7"/>
  <c r="F208" i="7" s="1"/>
  <c r="F207" i="7"/>
  <c r="E207" i="7"/>
  <c r="F206" i="7"/>
  <c r="E206" i="7"/>
  <c r="E205" i="7"/>
  <c r="F205" i="7" s="1"/>
  <c r="E204" i="7"/>
  <c r="F204" i="7" s="1"/>
  <c r="E203" i="7"/>
  <c r="F203" i="7" s="1"/>
  <c r="E202" i="7"/>
  <c r="F202" i="7" s="1"/>
  <c r="E201" i="7"/>
  <c r="F201" i="7" s="1"/>
  <c r="F200" i="7"/>
  <c r="E200" i="7"/>
  <c r="E199" i="7"/>
  <c r="F199" i="7" s="1"/>
  <c r="E198" i="7"/>
  <c r="F198" i="7" s="1"/>
  <c r="E197" i="7"/>
  <c r="F197" i="7" s="1"/>
  <c r="E196" i="7"/>
  <c r="F196" i="7" s="1"/>
  <c r="E195" i="7"/>
  <c r="F195" i="7" s="1"/>
  <c r="F194" i="7"/>
  <c r="E194" i="7"/>
  <c r="E193" i="7"/>
  <c r="F193" i="7" s="1"/>
  <c r="E192" i="7"/>
  <c r="F192" i="7" s="1"/>
  <c r="E191" i="7"/>
  <c r="F191" i="7" s="1"/>
  <c r="E190" i="7"/>
  <c r="F190" i="7" s="1"/>
  <c r="E189" i="7"/>
  <c r="F189" i="7" s="1"/>
  <c r="F188" i="7"/>
  <c r="E188" i="7"/>
  <c r="E187" i="7"/>
  <c r="F187" i="7" s="1"/>
  <c r="E186" i="7"/>
  <c r="F186" i="7" s="1"/>
  <c r="F185" i="7"/>
  <c r="E185" i="7"/>
  <c r="E184" i="7"/>
  <c r="F184" i="7" s="1"/>
  <c r="E183" i="7"/>
  <c r="F183" i="7" s="1"/>
  <c r="F182" i="7"/>
  <c r="E182" i="7"/>
  <c r="E181" i="7"/>
  <c r="F181" i="7" s="1"/>
  <c r="E180" i="7"/>
  <c r="F180" i="7" s="1"/>
  <c r="E179" i="7"/>
  <c r="F179" i="7" s="1"/>
  <c r="F178" i="7"/>
  <c r="E178" i="7"/>
  <c r="E177" i="7"/>
  <c r="F177" i="7" s="1"/>
  <c r="F176" i="7"/>
  <c r="E176" i="7"/>
  <c r="E175" i="7"/>
  <c r="F175" i="7" s="1"/>
  <c r="E174" i="7"/>
  <c r="F174" i="7" s="1"/>
  <c r="E173" i="7"/>
  <c r="F173" i="7" s="1"/>
  <c r="E172" i="7"/>
  <c r="F172" i="7" s="1"/>
  <c r="F171" i="7"/>
  <c r="E171" i="7"/>
  <c r="F170" i="7"/>
  <c r="E170" i="7"/>
  <c r="E169" i="7"/>
  <c r="F169" i="7" s="1"/>
  <c r="E168" i="7"/>
  <c r="F168" i="7" s="1"/>
  <c r="E167" i="7"/>
  <c r="F167" i="7" s="1"/>
  <c r="F166" i="7"/>
  <c r="E166" i="7"/>
  <c r="E165" i="7"/>
  <c r="F165" i="7" s="1"/>
  <c r="F164" i="7"/>
  <c r="E164" i="7"/>
  <c r="E163" i="7"/>
  <c r="F163" i="7" s="1"/>
  <c r="E162" i="7"/>
  <c r="F162" i="7" s="1"/>
  <c r="E161" i="7"/>
  <c r="F161" i="7" s="1"/>
  <c r="E160" i="7"/>
  <c r="F160" i="7" s="1"/>
  <c r="E159" i="7"/>
  <c r="F159" i="7" s="1"/>
  <c r="F158" i="7"/>
  <c r="E158" i="7"/>
  <c r="E157" i="7"/>
  <c r="F157" i="7" s="1"/>
  <c r="E156" i="7"/>
  <c r="F156" i="7" s="1"/>
  <c r="E155" i="7"/>
  <c r="F155" i="7" s="1"/>
  <c r="E154" i="7"/>
  <c r="F154" i="7" s="1"/>
  <c r="E153" i="7"/>
  <c r="F153" i="7" s="1"/>
  <c r="F152" i="7"/>
  <c r="E152" i="7"/>
  <c r="E151" i="7"/>
  <c r="F151" i="7" s="1"/>
  <c r="E150" i="7"/>
  <c r="F150" i="7" s="1"/>
  <c r="F149" i="7"/>
  <c r="E149" i="7"/>
  <c r="E148" i="7"/>
  <c r="F148" i="7" s="1"/>
  <c r="E147" i="7"/>
  <c r="F147" i="7" s="1"/>
  <c r="F146" i="7"/>
  <c r="E146" i="7"/>
  <c r="E145" i="7"/>
  <c r="F145" i="7" s="1"/>
  <c r="E144" i="7"/>
  <c r="F144" i="7" s="1"/>
  <c r="E143" i="7"/>
  <c r="F143" i="7" s="1"/>
  <c r="F142" i="7"/>
  <c r="E142" i="7"/>
  <c r="E141" i="7"/>
  <c r="F141" i="7" s="1"/>
  <c r="F140" i="7"/>
  <c r="E140" i="7"/>
  <c r="E139" i="7"/>
  <c r="F139" i="7" s="1"/>
  <c r="E138" i="7"/>
  <c r="F138" i="7" s="1"/>
  <c r="E137" i="7"/>
  <c r="F137" i="7" s="1"/>
  <c r="E136" i="7"/>
  <c r="F136" i="7" s="1"/>
  <c r="G135" i="7"/>
  <c r="E135" i="7"/>
  <c r="F135" i="7" s="1"/>
  <c r="F134" i="7"/>
  <c r="E134" i="7"/>
  <c r="F133" i="7"/>
  <c r="E133" i="7"/>
  <c r="E132" i="7"/>
  <c r="F132" i="7" s="1"/>
  <c r="G131" i="7"/>
  <c r="E131" i="7"/>
  <c r="F131" i="7" s="1"/>
  <c r="F130" i="7"/>
  <c r="E130" i="7"/>
  <c r="F129" i="7"/>
  <c r="E129" i="7"/>
  <c r="E128" i="7"/>
  <c r="F128" i="7" s="1"/>
  <c r="E127" i="7"/>
  <c r="F127" i="7" s="1"/>
  <c r="E126" i="7"/>
  <c r="F126" i="7" s="1"/>
  <c r="E125" i="7"/>
  <c r="F125" i="7" s="1"/>
  <c r="E124" i="7"/>
  <c r="F124" i="7" s="1"/>
  <c r="F123" i="7"/>
  <c r="E123" i="7"/>
  <c r="E122" i="7"/>
  <c r="F122" i="7" s="1"/>
  <c r="E121" i="7"/>
  <c r="F121" i="7" s="1"/>
  <c r="E120" i="7"/>
  <c r="F120" i="7" s="1"/>
  <c r="E119" i="7"/>
  <c r="F119" i="7" s="1"/>
  <c r="E118" i="7"/>
  <c r="F118" i="7" s="1"/>
  <c r="F117" i="7"/>
  <c r="E117" i="7"/>
  <c r="E116" i="7"/>
  <c r="F116" i="7" s="1"/>
  <c r="E115" i="7"/>
  <c r="F115" i="7" s="1"/>
  <c r="E114" i="7"/>
  <c r="F114" i="7" s="1"/>
  <c r="E113" i="7"/>
  <c r="F113" i="7" s="1"/>
  <c r="E112" i="7"/>
  <c r="F112" i="7" s="1"/>
  <c r="F111" i="7"/>
  <c r="E111" i="7"/>
  <c r="E110" i="7"/>
  <c r="F110" i="7" s="1"/>
  <c r="E109" i="7"/>
  <c r="F109" i="7" s="1"/>
  <c r="F108" i="7"/>
  <c r="E108" i="7"/>
  <c r="E107" i="7"/>
  <c r="F107" i="7" s="1"/>
  <c r="E106" i="7"/>
  <c r="F106" i="7" s="1"/>
  <c r="F105" i="7"/>
  <c r="E105" i="7"/>
  <c r="E104" i="7"/>
  <c r="F104" i="7" s="1"/>
  <c r="E103" i="7"/>
  <c r="F103" i="7" s="1"/>
  <c r="E102" i="7"/>
  <c r="F102" i="7" s="1"/>
  <c r="F101" i="7"/>
  <c r="E101" i="7"/>
  <c r="E100" i="7"/>
  <c r="F100" i="7" s="1"/>
  <c r="F99" i="7"/>
  <c r="E99" i="7"/>
  <c r="E98" i="7"/>
  <c r="F98" i="7" s="1"/>
  <c r="E97" i="7"/>
  <c r="F97" i="7" s="1"/>
  <c r="E96" i="7"/>
  <c r="F96" i="7" s="1"/>
  <c r="E95" i="7"/>
  <c r="F95" i="7" s="1"/>
  <c r="F94" i="7"/>
  <c r="E94" i="7"/>
  <c r="F93" i="7"/>
  <c r="E93" i="7"/>
  <c r="E92" i="7"/>
  <c r="F92" i="7" s="1"/>
  <c r="E91" i="7"/>
  <c r="F91" i="7" s="1"/>
  <c r="E90" i="7"/>
  <c r="F90" i="7" s="1"/>
  <c r="E89" i="7"/>
  <c r="F89" i="7" s="1"/>
  <c r="E88" i="7"/>
  <c r="F88" i="7" s="1"/>
  <c r="F87" i="7"/>
  <c r="E87" i="7"/>
  <c r="E86" i="7"/>
  <c r="F86" i="7" s="1"/>
  <c r="E85" i="7"/>
  <c r="F85" i="7" s="1"/>
  <c r="E84" i="7"/>
  <c r="F84" i="7" s="1"/>
  <c r="F83" i="7"/>
  <c r="E83" i="7"/>
  <c r="E82" i="7"/>
  <c r="F82" i="7" s="1"/>
  <c r="F81" i="7"/>
  <c r="E81" i="7"/>
  <c r="E80" i="7"/>
  <c r="F80" i="7" s="1"/>
  <c r="E79" i="7"/>
  <c r="F79" i="7" s="1"/>
  <c r="E78" i="7"/>
  <c r="F78" i="7" s="1"/>
  <c r="E77" i="7"/>
  <c r="F77" i="7" s="1"/>
  <c r="E76" i="7"/>
  <c r="F76" i="7" s="1"/>
  <c r="F75" i="7"/>
  <c r="E75" i="7"/>
  <c r="E74" i="7"/>
  <c r="F74" i="7" s="1"/>
  <c r="E73" i="7"/>
  <c r="F73" i="7" s="1"/>
  <c r="F72" i="7"/>
  <c r="E72" i="7"/>
  <c r="E71" i="7"/>
  <c r="F71" i="7" s="1"/>
  <c r="E70" i="7"/>
  <c r="F70" i="7" s="1"/>
  <c r="F69" i="7"/>
  <c r="E69" i="7"/>
  <c r="E68" i="7"/>
  <c r="F68" i="7" s="1"/>
  <c r="E67" i="7"/>
  <c r="F67" i="7" s="1"/>
  <c r="E66" i="7"/>
  <c r="F66" i="7" s="1"/>
  <c r="F65" i="7"/>
  <c r="E65" i="7"/>
  <c r="E64" i="7"/>
  <c r="F64" i="7" s="1"/>
  <c r="F63" i="7"/>
  <c r="E63" i="7"/>
  <c r="E62" i="7"/>
  <c r="F62" i="7" s="1"/>
  <c r="E61" i="7"/>
  <c r="F61" i="7" s="1"/>
  <c r="E60" i="7"/>
  <c r="F60" i="7" s="1"/>
  <c r="E59" i="7"/>
  <c r="F59" i="7" s="1"/>
  <c r="F58" i="7"/>
  <c r="E58" i="7"/>
  <c r="F57" i="7"/>
  <c r="E57" i="7"/>
  <c r="E56" i="7"/>
  <c r="F56" i="7" s="1"/>
  <c r="E55" i="7"/>
  <c r="F55" i="7" s="1"/>
  <c r="E54" i="7"/>
  <c r="F54" i="7" s="1"/>
  <c r="E53" i="7"/>
  <c r="F53" i="7" s="1"/>
  <c r="E52" i="7"/>
  <c r="F52" i="7" s="1"/>
  <c r="F51" i="7"/>
  <c r="E51" i="7"/>
  <c r="E50" i="7"/>
  <c r="F50" i="7" s="1"/>
  <c r="E49" i="7"/>
  <c r="F49" i="7" s="1"/>
  <c r="E48" i="7"/>
  <c r="F48" i="7" s="1"/>
  <c r="E47" i="7"/>
  <c r="F47" i="7" s="1"/>
  <c r="E46" i="7"/>
  <c r="F46" i="7" s="1"/>
  <c r="F45" i="7"/>
  <c r="E45" i="7"/>
  <c r="E44" i="7"/>
  <c r="F44" i="7" s="1"/>
  <c r="E43" i="7"/>
  <c r="F43" i="7" s="1"/>
  <c r="E42" i="7"/>
  <c r="F42" i="7" s="1"/>
  <c r="E41" i="7"/>
  <c r="F41" i="7" s="1"/>
  <c r="E40" i="7"/>
  <c r="F40" i="7" s="1"/>
  <c r="F39" i="7"/>
  <c r="E39" i="7"/>
  <c r="E38" i="7"/>
  <c r="F38" i="7" s="1"/>
  <c r="E37" i="7"/>
  <c r="F37" i="7" s="1"/>
  <c r="F36" i="7"/>
  <c r="E36" i="7"/>
  <c r="E35" i="7"/>
  <c r="F35" i="7" s="1"/>
  <c r="E34" i="7"/>
  <c r="F34" i="7" s="1"/>
  <c r="F33" i="7"/>
  <c r="E33" i="7"/>
  <c r="E32" i="7"/>
  <c r="F32" i="7" s="1"/>
  <c r="E31" i="7"/>
  <c r="F31" i="7" s="1"/>
  <c r="E30" i="7"/>
  <c r="F30" i="7" s="1"/>
  <c r="F29" i="7"/>
  <c r="E29" i="7"/>
  <c r="E28" i="7"/>
  <c r="F28" i="7" s="1"/>
  <c r="F27" i="7"/>
  <c r="E27" i="7"/>
  <c r="E26" i="7"/>
  <c r="F26" i="7" s="1"/>
  <c r="E25" i="7"/>
  <c r="F25" i="7" s="1"/>
  <c r="E24" i="7"/>
  <c r="F24" i="7" s="1"/>
  <c r="E23" i="7"/>
  <c r="F23" i="7" s="1"/>
  <c r="F22" i="7"/>
  <c r="E22" i="7"/>
  <c r="F21" i="7"/>
  <c r="E21" i="7"/>
  <c r="E20" i="7"/>
  <c r="F20" i="7" s="1"/>
  <c r="E19" i="7"/>
  <c r="F19" i="7" s="1"/>
  <c r="E18" i="7"/>
  <c r="F18" i="7" s="1"/>
  <c r="E17" i="7"/>
  <c r="F17" i="7" s="1"/>
  <c r="E16" i="7"/>
  <c r="F16" i="7" s="1"/>
  <c r="F15" i="7"/>
  <c r="E15" i="7"/>
  <c r="E14" i="7"/>
  <c r="F14" i="7" s="1"/>
  <c r="E13" i="7"/>
  <c r="F13" i="7" s="1"/>
  <c r="E12" i="7"/>
  <c r="F12" i="7" s="1"/>
  <c r="E11" i="7"/>
  <c r="F11" i="7" s="1"/>
  <c r="E10" i="7"/>
  <c r="F10" i="7" s="1"/>
  <c r="F9" i="7"/>
  <c r="E9" i="7"/>
  <c r="E8" i="7"/>
  <c r="F8" i="7" s="1"/>
  <c r="G7" i="7"/>
  <c r="E7" i="7"/>
  <c r="F7" i="7" s="1"/>
  <c r="E6" i="7"/>
  <c r="F6" i="7" s="1"/>
  <c r="E5" i="7"/>
  <c r="F5" i="7" s="1"/>
  <c r="E4" i="7"/>
  <c r="F4" i="7" s="1"/>
  <c r="F3" i="7"/>
  <c r="E3" i="7"/>
  <c r="F2" i="7"/>
  <c r="E2" i="7"/>
  <c r="E652" i="7" l="1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</calcChain>
</file>

<file path=xl/sharedStrings.xml><?xml version="1.0" encoding="utf-8"?>
<sst xmlns="http://schemas.openxmlformats.org/spreadsheetml/2006/main" count="2195" uniqueCount="258">
  <si>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</si>
  <si>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</si>
  <si>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</si>
  <si>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</si>
  <si>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</si>
  <si>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</si>
  <si>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</si>
  <si>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</si>
  <si>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</si>
  <si>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</si>
  <si>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</si>
  <si>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</si>
  <si>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</si>
  <si>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</si>
  <si>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</si>
  <si>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</si>
  <si>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</si>
  <si>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</si>
  <si>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</si>
  <si>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</si>
  <si>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</si>
  <si>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</si>
  <si>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</si>
  <si>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</si>
  <si>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</si>
  <si>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</si>
  <si>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</si>
  <si>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</si>
  <si>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</si>
  <si>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</si>
  <si>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</si>
  <si>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</si>
  <si>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</si>
  <si>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</si>
  <si>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</si>
  <si>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</si>
  <si>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</si>
  <si>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</si>
  <si>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</si>
  <si>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</si>
  <si>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</si>
  <si>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</si>
  <si>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</si>
  <si>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</si>
  <si>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</si>
  <si>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</si>
  <si>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</si>
  <si>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</si>
  <si>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</si>
  <si>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</si>
  <si>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</si>
  <si>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</si>
  <si>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</si>
  <si>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</si>
  <si>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</si>
  <si>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</si>
  <si>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</si>
  <si>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</si>
  <si>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</si>
  <si>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</si>
  <si>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</si>
  <si>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</si>
  <si>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</si>
  <si>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</si>
  <si>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</si>
  <si>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</si>
  <si>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</si>
  <si>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</si>
  <si>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</si>
  <si>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</si>
  <si>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</si>
  <si>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</si>
  <si>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</si>
  <si>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</si>
  <si>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</si>
  <si>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</si>
  <si>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</si>
  <si>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</si>
  <si>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</si>
  <si>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</si>
  <si>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</si>
  <si>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</si>
  <si>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</si>
  <si>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</si>
  <si>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</si>
  <si>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</si>
  <si>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</si>
  <si>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</si>
  <si>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</si>
  <si>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</si>
  <si>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</si>
  <si>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</si>
  <si>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</si>
  <si>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</si>
  <si>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</si>
  <si>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</si>
  <si>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</si>
  <si>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</si>
  <si>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</si>
  <si>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</si>
  <si>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</si>
  <si>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</si>
  <si>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</si>
  <si>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</si>
  <si>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</si>
  <si>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</si>
  <si>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</si>
  <si>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</si>
  <si>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</si>
  <si>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</si>
  <si>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</si>
  <si>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</si>
  <si>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</si>
  <si>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</si>
  <si>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</si>
  <si>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</si>
  <si>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</si>
  <si>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</si>
  <si>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</si>
  <si>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</si>
  <si>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</si>
  <si>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</si>
  <si>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</si>
  <si>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</si>
  <si>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</si>
  <si>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</si>
  <si>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</si>
  <si>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</si>
  <si>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</si>
  <si>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</si>
  <si>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</si>
  <si>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</si>
  <si>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</si>
  <si>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</si>
  <si>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</si>
  <si>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</si>
  <si>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</si>
  <si>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</si>
  <si>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</si>
  <si>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</si>
  <si>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</si>
  <si>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</si>
  <si>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</si>
  <si>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</si>
  <si>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</si>
  <si>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</si>
  <si>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</si>
  <si>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</si>
  <si>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</si>
  <si>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</si>
  <si>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</si>
  <si>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</si>
  <si>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</si>
  <si>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</si>
  <si>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</si>
  <si>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</si>
  <si>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</si>
  <si>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</si>
  <si>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</si>
  <si>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</si>
  <si>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</si>
  <si>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</si>
  <si>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</si>
  <si>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</si>
  <si>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</si>
  <si>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</si>
  <si>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</si>
  <si>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</si>
  <si>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</si>
  <si>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</si>
  <si>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</si>
  <si>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</si>
  <si>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</si>
  <si>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</si>
  <si>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</si>
  <si>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</si>
  <si>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</si>
  <si>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</si>
  <si>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</si>
  <si>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</si>
  <si>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</si>
  <si>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</si>
  <si>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</si>
  <si>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</si>
  <si>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</si>
  <si>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</si>
  <si>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</si>
  <si>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</si>
  <si>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</si>
  <si>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</si>
  <si>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</si>
  <si>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</si>
  <si>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</si>
  <si>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</si>
  <si>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楽天</t>
    <rPh sb="0" eb="2">
      <t>ラクテン</t>
    </rPh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</si>
  <si>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</si>
  <si>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</si>
  <si>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</si>
  <si>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</si>
  <si>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</si>
  <si>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</si>
  <si>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</si>
  <si>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</si>
  <si>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</si>
  <si>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</si>
  <si>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</si>
  <si>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</si>
  <si>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</si>
  <si>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</si>
  <si>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</si>
  <si>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</si>
  <si>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</si>
  <si>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</si>
  <si>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</si>
  <si>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</si>
  <si>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</si>
  <si>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</si>
  <si>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</si>
  <si>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</si>
  <si>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</si>
  <si>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</si>
  <si>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</si>
  <si>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</si>
  <si>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</si>
  <si>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</si>
  <si>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</si>
  <si>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</si>
  <si>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</si>
  <si>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</si>
  <si>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</si>
  <si>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</si>
  <si>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</si>
  <si>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</si>
  <si>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</si>
  <si>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</si>
  <si>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</si>
  <si>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</si>
  <si>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服</t>
    <rPh sb="0" eb="1">
      <t>フク</t>
    </rPh>
    <phoneticPr fontId="2"/>
  </si>
  <si>
    <t>りょう</t>
    <phoneticPr fontId="2"/>
  </si>
  <si>
    <t>サングラス</t>
    <phoneticPr fontId="2"/>
  </si>
  <si>
    <t>KEYUCA収納</t>
    <rPh sb="6" eb="8">
      <t>シュウノウ</t>
    </rPh>
    <phoneticPr fontId="2"/>
  </si>
  <si>
    <t>ゆっこ</t>
    <phoneticPr fontId="2"/>
  </si>
  <si>
    <t>キャップ</t>
    <phoneticPr fontId="2"/>
  </si>
  <si>
    <t>みなくん、こっちゃん耳鼻科</t>
    <rPh sb="10" eb="13">
      <t>ジビカ</t>
    </rPh>
    <phoneticPr fontId="2"/>
  </si>
  <si>
    <t>子供</t>
    <rPh sb="0" eb="2">
      <t>コドモ</t>
    </rPh>
    <phoneticPr fontId="2"/>
  </si>
  <si>
    <t>しいか靴</t>
    <rPh sb="3" eb="4">
      <t>クツ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</si>
  <si>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</si>
  <si>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</si>
  <si>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</si>
  <si>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</si>
  <si>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</si>
  <si>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</si>
  <si>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-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</si>
  <si>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</si>
  <si>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</si>
  <si>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服</t>
    <rPh sb="0" eb="1">
      <t>フク</t>
    </rPh>
    <phoneticPr fontId="2"/>
  </si>
  <si>
    <t>子供</t>
    <rPh sb="0" eb="2">
      <t>コドモ</t>
    </rPh>
    <phoneticPr fontId="2"/>
  </si>
  <si>
    <t>ゆっこ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</si>
</sst>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2" borderId="1" xfId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658"/>
  <sheetViews>
    <sheetView showGridLines="0" tabSelected="1" zoomScale="85" zoomScaleNormal="85" workbookViewId="0">
      <pane xSplit="1" ySplit="1" topLeftCell="B636" activePane="bottomRight" state="frozen"/>
      <selection pane="topRight" activeCell="B1" sqref="B1"/>
      <selection pane="bottomLeft" activeCell="A3" sqref="A3"/>
      <selection pane="bottomRight" activeCell="A641" sqref="A641:H649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12000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12000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2980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2980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2980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2980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2980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150000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250000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3000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3000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20000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40000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30000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20000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1400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1400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13000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13000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13000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13000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13000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13000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3000</v>
      </c>
      <c r="H326" s="6"/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3000</v>
      </c>
      <c r="H327" s="6"/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2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40000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86" si="11">B333&amp;C333&amp;E333&amp;D333</f>
        <v>ふるさと納税-9予算</v>
      </c>
      <c r="G333" s="6">
        <v>30000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40000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10000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10000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13000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40000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40000</v>
      </c>
      <c r="H352" s="6"/>
    </row>
    <row r="353" spans="1:8" x14ac:dyDescent="0.35">
      <c r="A353" s="7">
        <v>46023</v>
      </c>
      <c r="B353" s="5" t="s">
        <v>0</v>
      </c>
      <c r="C353" s="5" t="s">
        <v>28</v>
      </c>
      <c r="D353" s="5" t="s">
        <v>19</v>
      </c>
      <c r="E353" s="5">
        <f>MONTH(A353)</f>
        <v>1</v>
      </c>
      <c r="F353" s="5" t="str">
        <f t="shared" si="11"/>
        <v>家賃-1実績</v>
      </c>
      <c r="G353" s="6">
        <v>120829</v>
      </c>
      <c r="H353" s="6"/>
    </row>
    <row r="354" spans="1:8" x14ac:dyDescent="0.35">
      <c r="A354" s="7">
        <v>46025</v>
      </c>
      <c r="B354" s="5" t="s">
        <v>11</v>
      </c>
      <c r="C354" s="5" t="s">
        <v>85</v>
      </c>
      <c r="D354" s="5" t="s">
        <v>19</v>
      </c>
      <c r="E354" s="5">
        <f t="shared" si="10"/>
        <v>1</v>
      </c>
      <c r="F354" s="5" t="str">
        <f t="shared" si="11"/>
        <v>その他予備費1実績</v>
      </c>
      <c r="G354" s="6">
        <v>3300</v>
      </c>
      <c r="H354" s="6" t="s">
        <v>103</v>
      </c>
    </row>
    <row r="355" spans="1:8" x14ac:dyDescent="0.35">
      <c r="A355" s="7">
        <v>46025</v>
      </c>
      <c r="B355" s="5" t="s">
        <v>89</v>
      </c>
      <c r="C355" s="5" t="s">
        <v>11</v>
      </c>
      <c r="D355" s="5" t="s">
        <v>19</v>
      </c>
      <c r="E355" s="5">
        <f t="shared" si="10"/>
        <v>1</v>
      </c>
      <c r="F355" s="5" t="str">
        <f t="shared" si="11"/>
        <v>娯楽費その他1実績</v>
      </c>
      <c r="G355" s="6">
        <v>7585</v>
      </c>
      <c r="H355" s="6" t="s">
        <v>104</v>
      </c>
    </row>
    <row r="356" spans="1:8" x14ac:dyDescent="0.35">
      <c r="A356" s="7">
        <v>46025</v>
      </c>
      <c r="B356" s="5" t="s">
        <v>3</v>
      </c>
      <c r="C356" s="5" t="s">
        <v>9</v>
      </c>
      <c r="D356" s="5" t="s">
        <v>19</v>
      </c>
      <c r="E356" s="5">
        <f t="shared" si="10"/>
        <v>1</v>
      </c>
      <c r="F356" s="5" t="str">
        <f t="shared" si="11"/>
        <v>生活費外食1実績</v>
      </c>
      <c r="G356" s="6">
        <v>14730</v>
      </c>
      <c r="H356" s="6" t="s">
        <v>105</v>
      </c>
    </row>
    <row r="357" spans="1:8" x14ac:dyDescent="0.35">
      <c r="A357" s="7">
        <v>46026</v>
      </c>
      <c r="B357" s="5" t="s">
        <v>1</v>
      </c>
      <c r="C357" s="5" t="s">
        <v>2</v>
      </c>
      <c r="D357" s="5" t="s">
        <v>19</v>
      </c>
      <c r="E357" s="5">
        <f t="shared" si="10"/>
        <v>1</v>
      </c>
      <c r="F357" s="5" t="str">
        <f t="shared" si="11"/>
        <v>服りょう1実績</v>
      </c>
      <c r="G357" s="6">
        <v>13680</v>
      </c>
      <c r="H357" s="6" t="s">
        <v>106</v>
      </c>
    </row>
    <row r="358" spans="1:8" x14ac:dyDescent="0.35">
      <c r="A358" s="7">
        <v>46024</v>
      </c>
      <c r="B358" s="5" t="s">
        <v>3</v>
      </c>
      <c r="C358" s="5" t="s">
        <v>9</v>
      </c>
      <c r="D358" s="5" t="s">
        <v>19</v>
      </c>
      <c r="E358" s="5">
        <f t="shared" si="10"/>
        <v>1</v>
      </c>
      <c r="F358" s="5" t="str">
        <f t="shared" si="11"/>
        <v>生活費外食1実績</v>
      </c>
      <c r="G358" s="6">
        <v>1404</v>
      </c>
      <c r="H358" s="6" t="s">
        <v>107</v>
      </c>
    </row>
    <row r="359" spans="1:8" x14ac:dyDescent="0.35">
      <c r="A359" s="7">
        <v>46026</v>
      </c>
      <c r="B359" s="5" t="s">
        <v>3</v>
      </c>
      <c r="C359" s="5" t="s">
        <v>9</v>
      </c>
      <c r="D359" s="5" t="s">
        <v>19</v>
      </c>
      <c r="E359" s="5">
        <f t="shared" si="10"/>
        <v>1</v>
      </c>
      <c r="F359" s="5" t="str">
        <f t="shared" si="11"/>
        <v>生活費外食1実績</v>
      </c>
      <c r="G359" s="6">
        <v>1120</v>
      </c>
      <c r="H359" s="6" t="s">
        <v>108</v>
      </c>
    </row>
    <row r="360" spans="1:8" x14ac:dyDescent="0.35">
      <c r="A360" s="7">
        <v>46026</v>
      </c>
      <c r="B360" s="5" t="s">
        <v>3</v>
      </c>
      <c r="C360" s="5" t="s">
        <v>9</v>
      </c>
      <c r="D360" s="5" t="s">
        <v>19</v>
      </c>
      <c r="E360" s="5">
        <f t="shared" si="10"/>
        <v>1</v>
      </c>
      <c r="F360" s="5" t="str">
        <f t="shared" si="11"/>
        <v>生活費外食1実績</v>
      </c>
      <c r="G360" s="6">
        <v>649</v>
      </c>
      <c r="H360" s="6" t="s">
        <v>109</v>
      </c>
    </row>
    <row r="361" spans="1:8" x14ac:dyDescent="0.35">
      <c r="A361" s="7">
        <v>46026</v>
      </c>
      <c r="B361" s="5" t="s">
        <v>3</v>
      </c>
      <c r="C361" s="5" t="s">
        <v>9</v>
      </c>
      <c r="D361" s="5" t="s">
        <v>19</v>
      </c>
      <c r="E361" s="5">
        <f t="shared" si="10"/>
        <v>1</v>
      </c>
      <c r="F361" s="5" t="str">
        <f t="shared" si="11"/>
        <v>生活費外食1実績</v>
      </c>
      <c r="G361" s="6">
        <v>1890</v>
      </c>
      <c r="H361" s="6" t="s">
        <v>110</v>
      </c>
    </row>
    <row r="362" spans="1:8" x14ac:dyDescent="0.35">
      <c r="A362" s="7">
        <v>46027</v>
      </c>
      <c r="B362" s="5" t="s">
        <v>21</v>
      </c>
      <c r="C362" s="5" t="s">
        <v>28</v>
      </c>
      <c r="D362" s="5" t="s">
        <v>19</v>
      </c>
      <c r="E362" s="5">
        <f t="shared" si="10"/>
        <v>1</v>
      </c>
      <c r="F362" s="5" t="str">
        <f t="shared" si="11"/>
        <v>医療費-1実績</v>
      </c>
      <c r="G362" s="6">
        <v>200</v>
      </c>
      <c r="H362" s="6" t="s">
        <v>111</v>
      </c>
    </row>
    <row r="363" spans="1:8" x14ac:dyDescent="0.35">
      <c r="A363" s="7">
        <v>46027</v>
      </c>
      <c r="B363" s="5" t="s">
        <v>14</v>
      </c>
      <c r="C363" s="5" t="s">
        <v>28</v>
      </c>
      <c r="D363" s="5" t="s">
        <v>19</v>
      </c>
      <c r="E363" s="5">
        <f t="shared" si="10"/>
        <v>1</v>
      </c>
      <c r="F363" s="5" t="str">
        <f t="shared" si="11"/>
        <v>化粧品-1実績</v>
      </c>
      <c r="G363" s="6">
        <v>1298</v>
      </c>
      <c r="H363" s="6" t="s">
        <v>112</v>
      </c>
    </row>
    <row r="364" spans="1:8" x14ac:dyDescent="0.35">
      <c r="A364" s="7">
        <v>46027</v>
      </c>
      <c r="B364" s="5" t="s">
        <v>14</v>
      </c>
      <c r="C364" s="5" t="s">
        <v>28</v>
      </c>
      <c r="D364" s="5" t="s">
        <v>19</v>
      </c>
      <c r="E364" s="5">
        <f t="shared" si="10"/>
        <v>1</v>
      </c>
      <c r="F364" s="5" t="str">
        <f t="shared" si="11"/>
        <v>化粧品-1実績</v>
      </c>
      <c r="G364" s="6">
        <v>1402</v>
      </c>
      <c r="H364" s="6" t="s">
        <v>113</v>
      </c>
    </row>
    <row r="365" spans="1:8" x14ac:dyDescent="0.35">
      <c r="A365" s="8">
        <v>46023</v>
      </c>
      <c r="B365" s="5" t="s">
        <v>46</v>
      </c>
      <c r="C365" s="5" t="s">
        <v>50</v>
      </c>
      <c r="D365" s="5" t="s">
        <v>19</v>
      </c>
      <c r="E365" s="5">
        <f t="shared" si="10"/>
        <v>1</v>
      </c>
      <c r="F365" s="5" t="str">
        <f t="shared" si="11"/>
        <v>サブスクpaypayゴールド1実績</v>
      </c>
      <c r="G365" s="6">
        <v>11000</v>
      </c>
      <c r="H365" s="6"/>
    </row>
    <row r="366" spans="1:8" x14ac:dyDescent="0.35">
      <c r="A366" s="7">
        <v>46032</v>
      </c>
      <c r="B366" s="5" t="s">
        <v>14</v>
      </c>
      <c r="C366" s="5" t="s">
        <v>28</v>
      </c>
      <c r="D366" s="5" t="s">
        <v>19</v>
      </c>
      <c r="E366" s="5">
        <f t="shared" si="10"/>
        <v>1</v>
      </c>
      <c r="F366" s="5" t="str">
        <f t="shared" si="11"/>
        <v>化粧品-1実績</v>
      </c>
      <c r="G366" s="6">
        <v>2376</v>
      </c>
      <c r="H366" s="6" t="s">
        <v>114</v>
      </c>
    </row>
    <row r="367" spans="1:8" x14ac:dyDescent="0.35">
      <c r="A367" s="7">
        <v>46032</v>
      </c>
      <c r="B367" s="5" t="s">
        <v>1</v>
      </c>
      <c r="C367" s="5" t="s">
        <v>73</v>
      </c>
      <c r="D367" s="5" t="s">
        <v>19</v>
      </c>
      <c r="E367" s="5">
        <f t="shared" si="10"/>
        <v>1</v>
      </c>
      <c r="F367" s="5" t="str">
        <f t="shared" si="11"/>
        <v>服子供1実績</v>
      </c>
      <c r="G367" s="6">
        <v>3980</v>
      </c>
      <c r="H367" s="6" t="s">
        <v>115</v>
      </c>
    </row>
    <row r="368" spans="1:8" x14ac:dyDescent="0.35">
      <c r="A368" s="7">
        <v>46033</v>
      </c>
      <c r="B368" s="5" t="s">
        <v>1</v>
      </c>
      <c r="C368" s="5" t="s">
        <v>73</v>
      </c>
      <c r="D368" s="5" t="s">
        <v>19</v>
      </c>
      <c r="E368" s="5">
        <f t="shared" si="10"/>
        <v>1</v>
      </c>
      <c r="F368" s="5" t="str">
        <f t="shared" si="11"/>
        <v>服子供1実績</v>
      </c>
      <c r="G368" s="6">
        <v>3980</v>
      </c>
      <c r="H368" s="6" t="s">
        <v>115</v>
      </c>
    </row>
    <row r="369" spans="1:8" x14ac:dyDescent="0.35">
      <c r="A369" s="7">
        <v>46033</v>
      </c>
      <c r="B369" s="5" t="s">
        <v>1</v>
      </c>
      <c r="C369" s="5" t="s">
        <v>73</v>
      </c>
      <c r="D369" s="5" t="s">
        <v>19</v>
      </c>
      <c r="E369" s="5">
        <f t="shared" si="10"/>
        <v>1</v>
      </c>
      <c r="F369" s="5" t="str">
        <f t="shared" si="11"/>
        <v>服子供1実績</v>
      </c>
      <c r="G369" s="6">
        <v>3267</v>
      </c>
      <c r="H369" s="6"/>
    </row>
    <row r="370" spans="1:8" x14ac:dyDescent="0.35">
      <c r="A370" s="7">
        <v>46034</v>
      </c>
      <c r="B370" s="5" t="s">
        <v>1</v>
      </c>
      <c r="C370" s="5" t="s">
        <v>4</v>
      </c>
      <c r="D370" s="5" t="s">
        <v>19</v>
      </c>
      <c r="E370" s="5">
        <f t="shared" si="10"/>
        <v>1</v>
      </c>
      <c r="F370" s="5" t="str">
        <f t="shared" si="11"/>
        <v>服ゆっこ1実績</v>
      </c>
      <c r="G370" s="6">
        <v>1990</v>
      </c>
      <c r="H370" s="6" t="s">
        <v>115</v>
      </c>
    </row>
    <row r="371" spans="1:8" x14ac:dyDescent="0.35">
      <c r="A371" s="7">
        <v>46039</v>
      </c>
      <c r="B371" s="5" t="s">
        <v>3</v>
      </c>
      <c r="C371" s="5" t="s">
        <v>9</v>
      </c>
      <c r="D371" s="5" t="s">
        <v>19</v>
      </c>
      <c r="E371" s="5">
        <f t="shared" si="10"/>
        <v>1</v>
      </c>
      <c r="F371" s="5" t="str">
        <f t="shared" si="11"/>
        <v>生活費外食1実績</v>
      </c>
      <c r="G371" s="6">
        <v>4730</v>
      </c>
      <c r="H371" s="6" t="s">
        <v>9</v>
      </c>
    </row>
    <row r="372" spans="1:8" x14ac:dyDescent="0.35">
      <c r="A372" s="7">
        <v>46035</v>
      </c>
      <c r="B372" s="5" t="s">
        <v>6</v>
      </c>
      <c r="C372" s="5" t="s">
        <v>8</v>
      </c>
      <c r="D372" s="5" t="s">
        <v>19</v>
      </c>
      <c r="E372" s="5">
        <f t="shared" si="10"/>
        <v>1</v>
      </c>
      <c r="F372" s="5" t="str">
        <f t="shared" si="11"/>
        <v>学費ことは1実績</v>
      </c>
      <c r="G372" s="6">
        <v>8880</v>
      </c>
      <c r="H372" s="6"/>
    </row>
    <row r="373" spans="1:8" x14ac:dyDescent="0.35">
      <c r="A373" s="7">
        <v>46042</v>
      </c>
      <c r="B373" s="5" t="s">
        <v>15</v>
      </c>
      <c r="C373" s="5" t="s">
        <v>55</v>
      </c>
      <c r="D373" s="5" t="s">
        <v>19</v>
      </c>
      <c r="E373" s="5">
        <f t="shared" si="10"/>
        <v>1</v>
      </c>
      <c r="F373" s="5" t="str">
        <f t="shared" si="11"/>
        <v>習い事バレエ1実績</v>
      </c>
      <c r="G373" s="6">
        <v>4400</v>
      </c>
      <c r="H373" s="6" t="s">
        <v>117</v>
      </c>
    </row>
    <row r="374" spans="1:8" x14ac:dyDescent="0.35">
      <c r="A374" s="7">
        <v>46044</v>
      </c>
      <c r="B374" s="5" t="s">
        <v>1</v>
      </c>
      <c r="C374" s="5" t="s">
        <v>73</v>
      </c>
      <c r="D374" s="5" t="s">
        <v>19</v>
      </c>
      <c r="E374" s="5">
        <f t="shared" si="10"/>
        <v>1</v>
      </c>
      <c r="F374" s="5" t="str">
        <f t="shared" si="11"/>
        <v>服子供1実績</v>
      </c>
      <c r="G374" s="6">
        <v>3461</v>
      </c>
      <c r="H374" s="6" t="s">
        <v>118</v>
      </c>
    </row>
    <row r="375" spans="1:8" x14ac:dyDescent="0.35">
      <c r="A375" s="7">
        <v>46044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3102</v>
      </c>
      <c r="H375" s="6" t="s">
        <v>119</v>
      </c>
    </row>
    <row r="376" spans="1:8" x14ac:dyDescent="0.35">
      <c r="A376" s="7">
        <v>46047</v>
      </c>
      <c r="B376" s="5" t="s">
        <v>7</v>
      </c>
      <c r="C376" s="5" t="s">
        <v>40</v>
      </c>
      <c r="D376" s="5" t="s">
        <v>19</v>
      </c>
      <c r="E376" s="5">
        <f t="shared" si="10"/>
        <v>1</v>
      </c>
      <c r="F376" s="5" t="str">
        <f t="shared" si="11"/>
        <v>光熱費電気1実績</v>
      </c>
      <c r="G376" s="6">
        <v>17942</v>
      </c>
      <c r="H376" s="6"/>
    </row>
    <row r="377" spans="1:8" x14ac:dyDescent="0.35">
      <c r="A377" s="7">
        <v>46047</v>
      </c>
      <c r="B377" s="5" t="s">
        <v>13</v>
      </c>
      <c r="C377" s="5" t="s">
        <v>45</v>
      </c>
      <c r="D377" s="5" t="s">
        <v>19</v>
      </c>
      <c r="E377" s="5">
        <f t="shared" si="10"/>
        <v>1</v>
      </c>
      <c r="F377" s="5" t="str">
        <f t="shared" si="11"/>
        <v>通信料GPS1実績</v>
      </c>
      <c r="G377" s="6">
        <v>539</v>
      </c>
      <c r="H377" s="6"/>
    </row>
    <row r="378" spans="1:8" x14ac:dyDescent="0.35">
      <c r="A378" s="7">
        <v>46047</v>
      </c>
      <c r="B378" s="5" t="s">
        <v>13</v>
      </c>
      <c r="C378" s="5" t="s">
        <v>31</v>
      </c>
      <c r="D378" s="5" t="s">
        <v>19</v>
      </c>
      <c r="E378" s="5">
        <f t="shared" si="10"/>
        <v>1</v>
      </c>
      <c r="F378" s="5" t="str">
        <f t="shared" si="11"/>
        <v>通信料ゆっこ1実績</v>
      </c>
      <c r="G378" s="6">
        <v>4122</v>
      </c>
      <c r="H378" s="6" t="s">
        <v>120</v>
      </c>
    </row>
    <row r="379" spans="1:8" x14ac:dyDescent="0.35">
      <c r="A379" s="7">
        <v>46047</v>
      </c>
      <c r="B379" s="5" t="s">
        <v>13</v>
      </c>
      <c r="C379" s="5" t="s">
        <v>2</v>
      </c>
      <c r="D379" s="5" t="s">
        <v>19</v>
      </c>
      <c r="E379" s="5">
        <f t="shared" si="10"/>
        <v>1</v>
      </c>
      <c r="F379" s="5" t="str">
        <f t="shared" si="11"/>
        <v>通信料りょう1実績</v>
      </c>
      <c r="G379" s="6">
        <f>3900-539</f>
        <v>3361</v>
      </c>
      <c r="H379" s="6"/>
    </row>
    <row r="380" spans="1:8" x14ac:dyDescent="0.35">
      <c r="A380" s="7">
        <v>46047</v>
      </c>
      <c r="B380" s="5" t="s">
        <v>15</v>
      </c>
      <c r="C380" s="5" t="s">
        <v>57</v>
      </c>
      <c r="D380" s="5" t="s">
        <v>19</v>
      </c>
      <c r="E380" s="5">
        <f t="shared" si="10"/>
        <v>1</v>
      </c>
      <c r="F380" s="5" t="str">
        <f t="shared" si="11"/>
        <v>習い事英会話1実績</v>
      </c>
      <c r="G380" s="6">
        <v>2980</v>
      </c>
      <c r="H380" s="6"/>
    </row>
    <row r="381" spans="1:8" x14ac:dyDescent="0.35">
      <c r="A381" s="7">
        <v>46027</v>
      </c>
      <c r="B381" s="5" t="s">
        <v>6</v>
      </c>
      <c r="C381" s="5" t="s">
        <v>5</v>
      </c>
      <c r="D381" s="5" t="s">
        <v>19</v>
      </c>
      <c r="E381" s="5">
        <f t="shared" si="10"/>
        <v>1</v>
      </c>
      <c r="F381" s="5" t="str">
        <f t="shared" si="11"/>
        <v>学費みなと1実績</v>
      </c>
      <c r="G381" s="6">
        <v>5150</v>
      </c>
      <c r="H381" s="6" t="s">
        <v>33</v>
      </c>
    </row>
    <row r="382" spans="1:8" x14ac:dyDescent="0.35">
      <c r="A382" s="7">
        <v>46047</v>
      </c>
      <c r="B382" s="5" t="s">
        <v>47</v>
      </c>
      <c r="C382" s="5" t="s">
        <v>49</v>
      </c>
      <c r="D382" s="5" t="s">
        <v>19</v>
      </c>
      <c r="E382" s="5">
        <f t="shared" si="10"/>
        <v>1</v>
      </c>
      <c r="F382" s="5" t="str">
        <f t="shared" si="11"/>
        <v>サブスクiCloud1実績</v>
      </c>
      <c r="G382" s="6">
        <v>450</v>
      </c>
      <c r="H382" s="6"/>
    </row>
    <row r="383" spans="1:8" x14ac:dyDescent="0.35">
      <c r="A383" s="7">
        <v>46047</v>
      </c>
      <c r="B383" s="5" t="s">
        <v>16</v>
      </c>
      <c r="C383" s="5" t="s">
        <v>59</v>
      </c>
      <c r="D383" s="5" t="s">
        <v>19</v>
      </c>
      <c r="E383" s="5">
        <f t="shared" si="10"/>
        <v>1</v>
      </c>
      <c r="F383" s="5" t="str">
        <f t="shared" si="11"/>
        <v>保険りょう死亡1実績</v>
      </c>
      <c r="G383" s="6">
        <v>1780</v>
      </c>
      <c r="H383" s="6"/>
    </row>
    <row r="384" spans="1:8" x14ac:dyDescent="0.35">
      <c r="A384" s="7">
        <v>46047</v>
      </c>
      <c r="B384" s="5" t="s">
        <v>16</v>
      </c>
      <c r="C384" s="5" t="s">
        <v>60</v>
      </c>
      <c r="D384" s="5" t="s">
        <v>19</v>
      </c>
      <c r="E384" s="5">
        <f t="shared" si="10"/>
        <v>1</v>
      </c>
      <c r="F384" s="5" t="str">
        <f t="shared" si="11"/>
        <v>保険りょう医療1実績</v>
      </c>
      <c r="G384" s="6">
        <v>2572</v>
      </c>
      <c r="H384" s="6"/>
    </row>
    <row r="385" spans="1:17" x14ac:dyDescent="0.35">
      <c r="A385" s="7">
        <v>46047</v>
      </c>
      <c r="B385" s="5" t="s">
        <v>11</v>
      </c>
      <c r="C385" s="5" t="s">
        <v>85</v>
      </c>
      <c r="D385" s="5" t="s">
        <v>19</v>
      </c>
      <c r="E385" s="5">
        <f t="shared" si="10"/>
        <v>1</v>
      </c>
      <c r="F385" s="5" t="str">
        <f t="shared" si="11"/>
        <v>その他予備費1実績</v>
      </c>
      <c r="G385" s="6">
        <v>4990</v>
      </c>
      <c r="H385" s="6"/>
      <c r="Q385" s="9"/>
    </row>
    <row r="386" spans="1:17" x14ac:dyDescent="0.35">
      <c r="A386" s="7">
        <v>46047</v>
      </c>
      <c r="B386" s="5" t="s">
        <v>1</v>
      </c>
      <c r="C386" s="5" t="s">
        <v>73</v>
      </c>
      <c r="D386" s="5" t="s">
        <v>19</v>
      </c>
      <c r="E386" s="5">
        <f t="shared" si="10"/>
        <v>1</v>
      </c>
      <c r="F386" s="5" t="str">
        <f t="shared" si="11"/>
        <v>服子供1実績</v>
      </c>
      <c r="G386" s="6">
        <v>3260</v>
      </c>
      <c r="H386" s="6"/>
    </row>
    <row r="387" spans="1:17" x14ac:dyDescent="0.35">
      <c r="A387" s="7">
        <v>46047</v>
      </c>
      <c r="B387" s="5" t="s">
        <v>87</v>
      </c>
      <c r="C387" s="5" t="s">
        <v>31</v>
      </c>
      <c r="D387" s="5" t="s">
        <v>19</v>
      </c>
      <c r="E387" s="5">
        <f t="shared" si="10"/>
        <v>1</v>
      </c>
      <c r="F387" s="5" t="str">
        <f>B387&amp;C387&amp;E387&amp;D387</f>
        <v>こずかいゆっこ1実績</v>
      </c>
      <c r="G387" s="6">
        <v>25000</v>
      </c>
      <c r="H387" s="6"/>
    </row>
    <row r="388" spans="1:17" x14ac:dyDescent="0.35">
      <c r="A388" s="7">
        <v>46047</v>
      </c>
      <c r="B388" s="5" t="s">
        <v>87</v>
      </c>
      <c r="C388" s="5" t="s">
        <v>2</v>
      </c>
      <c r="D388" s="5" t="s">
        <v>19</v>
      </c>
      <c r="E388" s="5">
        <f t="shared" si="10"/>
        <v>1</v>
      </c>
      <c r="F388" s="5" t="str">
        <f t="shared" ref="F388:F448" si="12">B388&amp;C388&amp;E388&amp;D388</f>
        <v>こずかいりょう1実績</v>
      </c>
      <c r="G388" s="6">
        <v>25000</v>
      </c>
      <c r="H388" s="6"/>
    </row>
    <row r="389" spans="1:17" x14ac:dyDescent="0.35">
      <c r="A389" s="7">
        <v>46047</v>
      </c>
      <c r="B389" s="5" t="s">
        <v>1</v>
      </c>
      <c r="C389" s="5" t="s">
        <v>4</v>
      </c>
      <c r="D389" s="5" t="s">
        <v>19</v>
      </c>
      <c r="E389" s="5">
        <f t="shared" si="10"/>
        <v>1</v>
      </c>
      <c r="F389" s="5" t="str">
        <f>B389&amp;C389&amp;E389&amp;D389</f>
        <v>服ゆっこ1実績</v>
      </c>
      <c r="G389" s="6">
        <v>3608</v>
      </c>
      <c r="H389" s="6"/>
    </row>
    <row r="390" spans="1:17" x14ac:dyDescent="0.35">
      <c r="A390" s="7">
        <v>46047</v>
      </c>
      <c r="B390" s="5" t="s">
        <v>1</v>
      </c>
      <c r="C390" s="5" t="s">
        <v>73</v>
      </c>
      <c r="D390" s="5" t="s">
        <v>19</v>
      </c>
      <c r="E390" s="5">
        <f t="shared" si="10"/>
        <v>1</v>
      </c>
      <c r="F390" s="5" t="str">
        <f t="shared" si="12"/>
        <v>服子供1実績</v>
      </c>
      <c r="G390" s="6">
        <v>2937</v>
      </c>
      <c r="H390" s="6"/>
    </row>
    <row r="391" spans="1:17" x14ac:dyDescent="0.35">
      <c r="A391" s="7">
        <v>46049</v>
      </c>
      <c r="B391" s="5" t="s">
        <v>7</v>
      </c>
      <c r="C391" s="5" t="s">
        <v>10</v>
      </c>
      <c r="D391" s="5" t="s">
        <v>19</v>
      </c>
      <c r="E391" s="5">
        <f t="shared" si="10"/>
        <v>1</v>
      </c>
      <c r="F391" s="5" t="str">
        <f t="shared" si="12"/>
        <v>光熱費ガス1実績</v>
      </c>
      <c r="G391" s="6">
        <v>12970</v>
      </c>
      <c r="H391" s="6"/>
    </row>
    <row r="392" spans="1:17" x14ac:dyDescent="0.35">
      <c r="A392" s="7">
        <v>46053</v>
      </c>
      <c r="B392" s="5" t="s">
        <v>17</v>
      </c>
      <c r="C392" s="5" t="s">
        <v>20</v>
      </c>
      <c r="D392" s="5" t="s">
        <v>19</v>
      </c>
      <c r="E392" s="5">
        <f t="shared" si="10"/>
        <v>1</v>
      </c>
      <c r="F392" s="5" t="str">
        <f t="shared" si="12"/>
        <v>奨学金-1実績</v>
      </c>
      <c r="G392" s="6">
        <v>10125</v>
      </c>
      <c r="H392" s="6"/>
    </row>
    <row r="393" spans="1:17" x14ac:dyDescent="0.35">
      <c r="A393" s="7">
        <v>46053</v>
      </c>
      <c r="B393" s="5" t="s">
        <v>15</v>
      </c>
      <c r="C393" s="5" t="s">
        <v>55</v>
      </c>
      <c r="D393" s="5" t="s">
        <v>19</v>
      </c>
      <c r="E393" s="5">
        <f t="shared" ref="E393:E456" si="13">MONTH(A393)</f>
        <v>1</v>
      </c>
      <c r="F393" s="5" t="str">
        <f t="shared" si="12"/>
        <v>習い事バレエ1実績</v>
      </c>
      <c r="G393" s="6">
        <v>9020</v>
      </c>
      <c r="H393" s="6"/>
    </row>
    <row r="394" spans="1:17" x14ac:dyDescent="0.35">
      <c r="A394" s="7">
        <v>46053</v>
      </c>
      <c r="B394" s="5" t="s">
        <v>15</v>
      </c>
      <c r="C394" s="5" t="s">
        <v>54</v>
      </c>
      <c r="D394" s="5" t="s">
        <v>19</v>
      </c>
      <c r="E394" s="5">
        <f t="shared" si="13"/>
        <v>1</v>
      </c>
      <c r="F394" s="5" t="str">
        <f t="shared" si="12"/>
        <v>習い事公文1実績</v>
      </c>
      <c r="G394" s="6">
        <v>14300</v>
      </c>
      <c r="H394" s="6"/>
    </row>
    <row r="395" spans="1:17" x14ac:dyDescent="0.35">
      <c r="A395" s="7">
        <v>46053</v>
      </c>
      <c r="B395" s="5" t="s">
        <v>6</v>
      </c>
      <c r="C395" s="5" t="s">
        <v>5</v>
      </c>
      <c r="D395" s="5" t="s">
        <v>19</v>
      </c>
      <c r="E395" s="5">
        <f t="shared" si="13"/>
        <v>1</v>
      </c>
      <c r="F395" s="5" t="str">
        <f t="shared" si="12"/>
        <v>学費みなと1実績</v>
      </c>
      <c r="G395" s="6">
        <v>2280</v>
      </c>
      <c r="H395" s="6" t="s">
        <v>121</v>
      </c>
    </row>
    <row r="396" spans="1:17" x14ac:dyDescent="0.35">
      <c r="A396" s="7">
        <v>46053</v>
      </c>
      <c r="B396" s="5" t="s">
        <v>16</v>
      </c>
      <c r="C396" s="5" t="s">
        <v>61</v>
      </c>
      <c r="D396" s="5" t="s">
        <v>19</v>
      </c>
      <c r="E396" s="5">
        <f t="shared" si="13"/>
        <v>1</v>
      </c>
      <c r="F396" s="5" t="str">
        <f t="shared" si="12"/>
        <v>保険ゆっこ医療1実績</v>
      </c>
      <c r="G396" s="6">
        <v>2924</v>
      </c>
      <c r="H396" s="6"/>
    </row>
    <row r="397" spans="1:17" x14ac:dyDescent="0.35">
      <c r="A397" s="7">
        <v>46052</v>
      </c>
      <c r="B397" s="5" t="s">
        <v>14</v>
      </c>
      <c r="C397" s="5" t="s">
        <v>20</v>
      </c>
      <c r="D397" s="5" t="s">
        <v>19</v>
      </c>
      <c r="E397" s="5">
        <f t="shared" si="13"/>
        <v>1</v>
      </c>
      <c r="F397" s="5" t="str">
        <f t="shared" si="12"/>
        <v>化粧品-1実績</v>
      </c>
      <c r="G397" s="6">
        <v>418</v>
      </c>
      <c r="H397" s="6" t="s">
        <v>122</v>
      </c>
    </row>
    <row r="398" spans="1:17" x14ac:dyDescent="0.35">
      <c r="A398" s="7">
        <v>46053</v>
      </c>
      <c r="B398" s="5" t="s">
        <v>3</v>
      </c>
      <c r="C398" s="5" t="s">
        <v>20</v>
      </c>
      <c r="D398" s="5" t="s">
        <v>19</v>
      </c>
      <c r="E398" s="5">
        <f t="shared" si="13"/>
        <v>1</v>
      </c>
      <c r="F398" s="5" t="str">
        <f t="shared" si="12"/>
        <v>生活費-1実績</v>
      </c>
      <c r="G398" s="6">
        <v>123236</v>
      </c>
      <c r="H398" s="6"/>
    </row>
    <row r="399" spans="1:17" x14ac:dyDescent="0.35">
      <c r="A399" s="7">
        <v>46053</v>
      </c>
      <c r="B399" s="5" t="s">
        <v>14</v>
      </c>
      <c r="C399" s="5" t="s">
        <v>20</v>
      </c>
      <c r="D399" s="5" t="s">
        <v>19</v>
      </c>
      <c r="E399" s="5">
        <f t="shared" si="13"/>
        <v>1</v>
      </c>
      <c r="F399" s="5" t="str">
        <f t="shared" si="12"/>
        <v>化粧品-1実績</v>
      </c>
      <c r="G399" s="6">
        <v>1672</v>
      </c>
      <c r="H399" s="6" t="s">
        <v>123</v>
      </c>
    </row>
    <row r="400" spans="1:17" x14ac:dyDescent="0.35">
      <c r="A400" s="7">
        <v>46059</v>
      </c>
      <c r="B400" s="5" t="s">
        <v>7</v>
      </c>
      <c r="C400" s="5" t="s">
        <v>40</v>
      </c>
      <c r="D400" s="5" t="s">
        <v>19</v>
      </c>
      <c r="E400" s="5">
        <f t="shared" si="13"/>
        <v>2</v>
      </c>
      <c r="F400" s="5" t="str">
        <f t="shared" si="12"/>
        <v>光熱費電気2実績</v>
      </c>
      <c r="G400" s="6">
        <v>24179</v>
      </c>
      <c r="H400" s="6" t="s">
        <v>124</v>
      </c>
    </row>
    <row r="401" spans="1:8" x14ac:dyDescent="0.35">
      <c r="A401" s="7">
        <v>46059</v>
      </c>
      <c r="B401" s="5" t="s">
        <v>7</v>
      </c>
      <c r="C401" s="5" t="s">
        <v>43</v>
      </c>
      <c r="D401" s="5" t="s">
        <v>19</v>
      </c>
      <c r="E401" s="5">
        <f t="shared" si="13"/>
        <v>2</v>
      </c>
      <c r="F401" s="5" t="str">
        <f t="shared" si="12"/>
        <v>光熱費水道2実績</v>
      </c>
      <c r="G401" s="6">
        <v>16087</v>
      </c>
      <c r="H401" s="6" t="s">
        <v>125</v>
      </c>
    </row>
    <row r="402" spans="1:8" x14ac:dyDescent="0.35">
      <c r="A402" s="7">
        <v>46054</v>
      </c>
      <c r="B402" s="5" t="s">
        <v>69</v>
      </c>
      <c r="C402" s="5" t="s">
        <v>9</v>
      </c>
      <c r="D402" s="5" t="s">
        <v>19</v>
      </c>
      <c r="E402" s="5">
        <f t="shared" si="13"/>
        <v>2</v>
      </c>
      <c r="F402" s="5" t="str">
        <f t="shared" si="12"/>
        <v>祝い事外食2実績</v>
      </c>
      <c r="G402" s="6">
        <v>16290</v>
      </c>
      <c r="H402" s="6" t="s">
        <v>126</v>
      </c>
    </row>
    <row r="403" spans="1:8" x14ac:dyDescent="0.35">
      <c r="A403" s="7">
        <v>46054</v>
      </c>
      <c r="B403" s="5" t="s">
        <v>69</v>
      </c>
      <c r="C403" s="5" t="s">
        <v>9</v>
      </c>
      <c r="D403" s="5" t="s">
        <v>19</v>
      </c>
      <c r="E403" s="5">
        <f t="shared" si="13"/>
        <v>2</v>
      </c>
      <c r="F403" s="5" t="str">
        <f t="shared" si="12"/>
        <v>祝い事外食2実績</v>
      </c>
      <c r="G403" s="6">
        <v>2641</v>
      </c>
      <c r="H403" s="6" t="s">
        <v>127</v>
      </c>
    </row>
    <row r="404" spans="1:8" x14ac:dyDescent="0.35">
      <c r="A404" s="7">
        <v>46054</v>
      </c>
      <c r="B404" s="5" t="s">
        <v>69</v>
      </c>
      <c r="C404" s="5" t="s">
        <v>9</v>
      </c>
      <c r="D404" s="5" t="s">
        <v>19</v>
      </c>
      <c r="E404" s="5">
        <f t="shared" si="13"/>
        <v>2</v>
      </c>
      <c r="F404" s="5" t="str">
        <f t="shared" si="12"/>
        <v>祝い事外食2実績</v>
      </c>
      <c r="G404" s="6">
        <v>5920</v>
      </c>
      <c r="H404" s="6" t="s">
        <v>128</v>
      </c>
    </row>
    <row r="405" spans="1:8" x14ac:dyDescent="0.35">
      <c r="A405" s="7">
        <v>46054</v>
      </c>
      <c r="B405" s="5" t="s">
        <v>69</v>
      </c>
      <c r="C405" s="5" t="s">
        <v>4</v>
      </c>
      <c r="D405" s="5" t="s">
        <v>19</v>
      </c>
      <c r="E405" s="5">
        <f t="shared" si="13"/>
        <v>2</v>
      </c>
      <c r="F405" s="5" t="str">
        <f t="shared" si="12"/>
        <v>祝い事ゆっこ2実績</v>
      </c>
      <c r="G405" s="6">
        <v>5319</v>
      </c>
      <c r="H405" s="6" t="s">
        <v>129</v>
      </c>
    </row>
    <row r="406" spans="1:8" x14ac:dyDescent="0.35">
      <c r="A406" s="7">
        <v>46054</v>
      </c>
      <c r="B406" s="5" t="s">
        <v>69</v>
      </c>
      <c r="C406" s="5" t="s">
        <v>4</v>
      </c>
      <c r="D406" s="5" t="s">
        <v>19</v>
      </c>
      <c r="E406" s="5">
        <f t="shared" si="13"/>
        <v>2</v>
      </c>
      <c r="F406" s="5" t="str">
        <f t="shared" si="12"/>
        <v>祝い事ゆっこ2実績</v>
      </c>
      <c r="G406" s="6">
        <v>3564</v>
      </c>
      <c r="H406" s="6" t="s">
        <v>130</v>
      </c>
    </row>
    <row r="407" spans="1:8" x14ac:dyDescent="0.35">
      <c r="A407" s="7">
        <v>46054</v>
      </c>
      <c r="B407" s="5" t="s">
        <v>69</v>
      </c>
      <c r="C407" s="5" t="s">
        <v>9</v>
      </c>
      <c r="D407" s="5" t="s">
        <v>19</v>
      </c>
      <c r="E407" s="5">
        <f t="shared" si="13"/>
        <v>2</v>
      </c>
      <c r="F407" s="5" t="str">
        <f t="shared" si="12"/>
        <v>祝い事外食2実績</v>
      </c>
      <c r="G407" s="6">
        <v>2940</v>
      </c>
      <c r="H407" s="6" t="s">
        <v>131</v>
      </c>
    </row>
    <row r="408" spans="1:8" x14ac:dyDescent="0.35">
      <c r="A408" s="7">
        <v>46055</v>
      </c>
      <c r="B408" s="5" t="s">
        <v>6</v>
      </c>
      <c r="C408" s="5" t="s">
        <v>5</v>
      </c>
      <c r="D408" s="5" t="s">
        <v>19</v>
      </c>
      <c r="E408" s="5">
        <f t="shared" si="13"/>
        <v>2</v>
      </c>
      <c r="F408" s="5" t="str">
        <f t="shared" si="12"/>
        <v>学費みなと2実績</v>
      </c>
      <c r="G408" s="6">
        <v>5150</v>
      </c>
      <c r="H408" s="6" t="s">
        <v>33</v>
      </c>
    </row>
    <row r="409" spans="1:8" x14ac:dyDescent="0.35">
      <c r="A409" s="7">
        <v>46055</v>
      </c>
      <c r="B409" s="5" t="s">
        <v>14</v>
      </c>
      <c r="C409" s="5" t="s">
        <v>20</v>
      </c>
      <c r="D409" s="5" t="s">
        <v>19</v>
      </c>
      <c r="E409" s="5">
        <f t="shared" si="13"/>
        <v>2</v>
      </c>
      <c r="F409" s="5" t="str">
        <f t="shared" si="12"/>
        <v>化粧品-2実績</v>
      </c>
      <c r="G409" s="6">
        <v>1980</v>
      </c>
      <c r="H409" s="6" t="s">
        <v>132</v>
      </c>
    </row>
    <row r="410" spans="1:8" x14ac:dyDescent="0.35">
      <c r="A410" s="7">
        <v>46061</v>
      </c>
      <c r="B410" s="5" t="s">
        <v>15</v>
      </c>
      <c r="C410" s="5" t="s">
        <v>55</v>
      </c>
      <c r="D410" s="5" t="s">
        <v>19</v>
      </c>
      <c r="E410" s="5">
        <f t="shared" si="13"/>
        <v>2</v>
      </c>
      <c r="F410" s="5" t="str">
        <f t="shared" si="12"/>
        <v>習い事バレエ2実績</v>
      </c>
      <c r="G410" s="6">
        <v>1000</v>
      </c>
      <c r="H410" s="6" t="s">
        <v>133</v>
      </c>
    </row>
    <row r="411" spans="1:8" x14ac:dyDescent="0.35">
      <c r="A411" s="7">
        <v>46058</v>
      </c>
      <c r="B411" s="5" t="s">
        <v>3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生活費外食2実績</v>
      </c>
      <c r="G411" s="6">
        <v>1420</v>
      </c>
      <c r="H411" s="6" t="s">
        <v>135</v>
      </c>
    </row>
    <row r="412" spans="1:8" x14ac:dyDescent="0.35">
      <c r="A412" s="7">
        <v>46058</v>
      </c>
      <c r="B412" s="5" t="s">
        <v>21</v>
      </c>
      <c r="C412" s="5" t="s">
        <v>20</v>
      </c>
      <c r="D412" s="5" t="s">
        <v>19</v>
      </c>
      <c r="E412" s="5">
        <f t="shared" si="13"/>
        <v>2</v>
      </c>
      <c r="F412" s="5" t="str">
        <f t="shared" si="12"/>
        <v>医療費-2実績</v>
      </c>
      <c r="G412" s="6">
        <v>200</v>
      </c>
      <c r="H412" s="6" t="s">
        <v>134</v>
      </c>
    </row>
    <row r="413" spans="1:8" x14ac:dyDescent="0.35">
      <c r="A413" s="7">
        <v>46060</v>
      </c>
      <c r="B413" s="5" t="s">
        <v>1</v>
      </c>
      <c r="C413" s="5" t="s">
        <v>73</v>
      </c>
      <c r="D413" s="5" t="s">
        <v>19</v>
      </c>
      <c r="E413" s="5">
        <f t="shared" si="13"/>
        <v>2</v>
      </c>
      <c r="F413" s="5" t="str">
        <f t="shared" si="12"/>
        <v>服子供2実績</v>
      </c>
      <c r="G413" s="6">
        <v>1494</v>
      </c>
      <c r="H413" s="6" t="s">
        <v>136</v>
      </c>
    </row>
    <row r="414" spans="1:8" x14ac:dyDescent="0.35">
      <c r="A414" s="7">
        <v>46060</v>
      </c>
      <c r="B414" s="5" t="s">
        <v>1</v>
      </c>
      <c r="C414" s="5" t="s">
        <v>73</v>
      </c>
      <c r="D414" s="5" t="s">
        <v>19</v>
      </c>
      <c r="E414" s="5">
        <f t="shared" si="13"/>
        <v>2</v>
      </c>
      <c r="F414" s="5" t="str">
        <f t="shared" si="12"/>
        <v>服子供2実績</v>
      </c>
      <c r="G414" s="6">
        <v>880</v>
      </c>
      <c r="H414" s="6" t="s">
        <v>137</v>
      </c>
    </row>
    <row r="415" spans="1:8" x14ac:dyDescent="0.35">
      <c r="A415" s="7">
        <v>46061</v>
      </c>
      <c r="B415" s="5" t="s">
        <v>3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生活費外食2実績</v>
      </c>
      <c r="G415" s="6">
        <v>5566</v>
      </c>
      <c r="H415" s="6" t="s">
        <v>138</v>
      </c>
    </row>
    <row r="416" spans="1:8" x14ac:dyDescent="0.35">
      <c r="A416" s="7">
        <v>46061</v>
      </c>
      <c r="B416" s="5" t="s">
        <v>14</v>
      </c>
      <c r="C416" s="5" t="s">
        <v>20</v>
      </c>
      <c r="D416" s="5" t="s">
        <v>19</v>
      </c>
      <c r="E416" s="5">
        <f t="shared" si="13"/>
        <v>2</v>
      </c>
      <c r="F416" s="5" t="str">
        <f t="shared" si="12"/>
        <v>化粧品-2実績</v>
      </c>
      <c r="G416" s="6">
        <v>5900</v>
      </c>
      <c r="H416" s="6" t="s">
        <v>140</v>
      </c>
    </row>
    <row r="417" spans="1:8" x14ac:dyDescent="0.35">
      <c r="A417" s="7">
        <v>46061</v>
      </c>
      <c r="B417" s="5" t="s">
        <v>6</v>
      </c>
      <c r="C417" s="5" t="s">
        <v>8</v>
      </c>
      <c r="D417" s="5" t="s">
        <v>19</v>
      </c>
      <c r="E417" s="5">
        <f t="shared" si="13"/>
        <v>2</v>
      </c>
      <c r="F417" s="5" t="str">
        <f t="shared" si="12"/>
        <v>学費ことは2実績</v>
      </c>
      <c r="G417" s="6">
        <v>1890</v>
      </c>
      <c r="H417" s="6" t="s">
        <v>139</v>
      </c>
    </row>
    <row r="418" spans="1:8" x14ac:dyDescent="0.35">
      <c r="A418" s="7">
        <v>46061</v>
      </c>
      <c r="B418" s="5" t="s">
        <v>6</v>
      </c>
      <c r="C418" s="5" t="s">
        <v>8</v>
      </c>
      <c r="D418" s="5" t="s">
        <v>19</v>
      </c>
      <c r="E418" s="5">
        <f t="shared" si="13"/>
        <v>2</v>
      </c>
      <c r="F418" s="5" t="str">
        <f t="shared" si="12"/>
        <v>学費ことは2実績</v>
      </c>
      <c r="G418" s="6">
        <v>8880</v>
      </c>
      <c r="H418" s="6"/>
    </row>
    <row r="419" spans="1:8" x14ac:dyDescent="0.35">
      <c r="A419" s="7">
        <v>46061</v>
      </c>
      <c r="B419" s="5" t="s">
        <v>1</v>
      </c>
      <c r="C419" s="5" t="s">
        <v>2</v>
      </c>
      <c r="D419" s="5" t="s">
        <v>19</v>
      </c>
      <c r="E419" s="5">
        <f t="shared" si="13"/>
        <v>2</v>
      </c>
      <c r="F419" s="5" t="str">
        <f t="shared" si="12"/>
        <v>服りょう2実績</v>
      </c>
      <c r="G419" s="6">
        <v>3980</v>
      </c>
      <c r="H419" s="6" t="s">
        <v>115</v>
      </c>
    </row>
    <row r="420" spans="1:8" x14ac:dyDescent="0.35">
      <c r="A420" s="7">
        <v>46082</v>
      </c>
      <c r="B420" s="5" t="s">
        <v>7</v>
      </c>
      <c r="C420" s="5" t="s">
        <v>40</v>
      </c>
      <c r="D420" s="5" t="s">
        <v>19</v>
      </c>
      <c r="E420" s="5">
        <f t="shared" si="13"/>
        <v>3</v>
      </c>
      <c r="F420" s="5" t="str">
        <f t="shared" si="12"/>
        <v>光熱費電気3実績</v>
      </c>
      <c r="G420" s="6">
        <v>24039</v>
      </c>
      <c r="H420" s="6" t="s">
        <v>141</v>
      </c>
    </row>
    <row r="421" spans="1:8" x14ac:dyDescent="0.35">
      <c r="A421" s="7">
        <v>46064</v>
      </c>
      <c r="B421" s="5" t="s">
        <v>6</v>
      </c>
      <c r="C421" s="5" t="s">
        <v>5</v>
      </c>
      <c r="D421" s="5" t="s">
        <v>19</v>
      </c>
      <c r="E421" s="5">
        <f t="shared" si="13"/>
        <v>2</v>
      </c>
      <c r="F421" s="5" t="str">
        <f t="shared" si="12"/>
        <v>学費みなと2実績</v>
      </c>
      <c r="G421" s="6">
        <v>1800</v>
      </c>
      <c r="H421" s="6" t="s">
        <v>142</v>
      </c>
    </row>
    <row r="422" spans="1:8" x14ac:dyDescent="0.35">
      <c r="A422" s="7">
        <v>46066</v>
      </c>
      <c r="B422" s="5" t="s">
        <v>21</v>
      </c>
      <c r="C422" s="5" t="s">
        <v>20</v>
      </c>
      <c r="D422" s="5" t="s">
        <v>19</v>
      </c>
      <c r="E422" s="5">
        <f t="shared" si="13"/>
        <v>2</v>
      </c>
      <c r="F422" s="5" t="str">
        <f t="shared" si="12"/>
        <v>医療費-2実績</v>
      </c>
      <c r="G422" s="6">
        <v>400</v>
      </c>
      <c r="H422" s="6"/>
    </row>
    <row r="423" spans="1:8" x14ac:dyDescent="0.35">
      <c r="A423" s="7">
        <v>46066</v>
      </c>
      <c r="B423" s="5" t="s">
        <v>6</v>
      </c>
      <c r="C423" s="5" t="s">
        <v>8</v>
      </c>
      <c r="D423" s="5" t="s">
        <v>19</v>
      </c>
      <c r="E423" s="5">
        <f t="shared" si="13"/>
        <v>2</v>
      </c>
      <c r="F423" s="5" t="str">
        <f t="shared" si="12"/>
        <v>学費ことは2実績</v>
      </c>
      <c r="G423" s="6">
        <v>1100</v>
      </c>
      <c r="H423" s="6" t="s">
        <v>143</v>
      </c>
    </row>
    <row r="424" spans="1:8" x14ac:dyDescent="0.35">
      <c r="A424" s="7">
        <v>46066</v>
      </c>
      <c r="B424" s="5" t="s">
        <v>6</v>
      </c>
      <c r="C424" s="5" t="s">
        <v>5</v>
      </c>
      <c r="D424" s="5" t="s">
        <v>19</v>
      </c>
      <c r="E424" s="5">
        <f t="shared" si="13"/>
        <v>2</v>
      </c>
      <c r="F424" s="5" t="str">
        <f t="shared" si="12"/>
        <v>学費みなと2実績</v>
      </c>
      <c r="G424" s="6">
        <v>660</v>
      </c>
      <c r="H424" s="6" t="s">
        <v>144</v>
      </c>
    </row>
    <row r="425" spans="1:8" x14ac:dyDescent="0.35">
      <c r="A425" s="7">
        <v>46066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3051</v>
      </c>
      <c r="H425" s="6" t="s">
        <v>145</v>
      </c>
    </row>
    <row r="426" spans="1:8" x14ac:dyDescent="0.35">
      <c r="A426" s="7">
        <v>46066</v>
      </c>
      <c r="B426" s="5" t="s">
        <v>1</v>
      </c>
      <c r="C426" s="5" t="s">
        <v>73</v>
      </c>
      <c r="D426" s="5" t="s">
        <v>19</v>
      </c>
      <c r="E426" s="5">
        <f t="shared" si="13"/>
        <v>2</v>
      </c>
      <c r="F426" s="5" t="str">
        <f t="shared" si="12"/>
        <v>服子供2実績</v>
      </c>
      <c r="G426" s="6">
        <v>1077</v>
      </c>
      <c r="H426" s="6"/>
    </row>
    <row r="427" spans="1:8" x14ac:dyDescent="0.35">
      <c r="A427" s="7">
        <v>46073</v>
      </c>
      <c r="B427" s="5" t="s">
        <v>21</v>
      </c>
      <c r="C427" s="5" t="s">
        <v>20</v>
      </c>
      <c r="D427" s="5" t="s">
        <v>19</v>
      </c>
      <c r="E427" s="5">
        <f t="shared" si="13"/>
        <v>2</v>
      </c>
      <c r="F427" s="5" t="str">
        <f t="shared" si="12"/>
        <v>医療費-2実績</v>
      </c>
      <c r="G427" s="6">
        <v>4210</v>
      </c>
      <c r="H427" s="6" t="s">
        <v>34</v>
      </c>
    </row>
    <row r="428" spans="1:8" x14ac:dyDescent="0.35">
      <c r="A428" s="7">
        <v>46071</v>
      </c>
      <c r="B428" s="5" t="s">
        <v>14</v>
      </c>
      <c r="C428" s="5" t="s">
        <v>20</v>
      </c>
      <c r="D428" s="5" t="s">
        <v>19</v>
      </c>
      <c r="E428" s="5">
        <f t="shared" si="13"/>
        <v>2</v>
      </c>
      <c r="F428" s="5" t="str">
        <f t="shared" si="12"/>
        <v>化粧品-2実績</v>
      </c>
      <c r="G428" s="6">
        <v>3790</v>
      </c>
      <c r="H428" s="6" t="s">
        <v>146</v>
      </c>
    </row>
    <row r="429" spans="1:8" x14ac:dyDescent="0.35">
      <c r="A429" s="7">
        <v>46075</v>
      </c>
      <c r="B429" s="5" t="s">
        <v>3</v>
      </c>
      <c r="C429" s="5" t="s">
        <v>9</v>
      </c>
      <c r="D429" s="5" t="s">
        <v>19</v>
      </c>
      <c r="E429" s="5">
        <f t="shared" si="13"/>
        <v>2</v>
      </c>
      <c r="F429" s="5" t="str">
        <f t="shared" si="12"/>
        <v>生活費外食2実績</v>
      </c>
      <c r="G429" s="6">
        <v>3530</v>
      </c>
      <c r="H429" s="6" t="s">
        <v>148</v>
      </c>
    </row>
    <row r="430" spans="1:8" x14ac:dyDescent="0.35">
      <c r="A430" s="7">
        <v>46076</v>
      </c>
      <c r="B430" s="5" t="s">
        <v>3</v>
      </c>
      <c r="C430" s="5" t="s">
        <v>9</v>
      </c>
      <c r="D430" s="5" t="s">
        <v>19</v>
      </c>
      <c r="E430" s="5">
        <f t="shared" si="13"/>
        <v>2</v>
      </c>
      <c r="F430" s="5" t="str">
        <f t="shared" si="12"/>
        <v>生活費外食2実績</v>
      </c>
      <c r="G430" s="6">
        <v>1000</v>
      </c>
      <c r="H430" s="6" t="s">
        <v>147</v>
      </c>
    </row>
    <row r="431" spans="1:8" x14ac:dyDescent="0.35">
      <c r="A431" s="7">
        <v>46076</v>
      </c>
      <c r="B431" s="5" t="s">
        <v>12</v>
      </c>
      <c r="C431" s="5" t="s">
        <v>2</v>
      </c>
      <c r="D431" s="5" t="s">
        <v>19</v>
      </c>
      <c r="E431" s="5">
        <f t="shared" si="13"/>
        <v>2</v>
      </c>
      <c r="F431" s="5" t="str">
        <f t="shared" si="12"/>
        <v>美容室りょう2実績</v>
      </c>
      <c r="G431" s="6">
        <v>1400</v>
      </c>
      <c r="H431" s="6"/>
    </row>
    <row r="432" spans="1:8" x14ac:dyDescent="0.35">
      <c r="A432" s="7">
        <v>46076</v>
      </c>
      <c r="B432" s="5" t="s">
        <v>14</v>
      </c>
      <c r="C432" s="5" t="s">
        <v>20</v>
      </c>
      <c r="D432" s="5" t="s">
        <v>19</v>
      </c>
      <c r="E432" s="5">
        <f t="shared" si="13"/>
        <v>2</v>
      </c>
      <c r="F432" s="5" t="str">
        <f t="shared" si="12"/>
        <v>化粧品-2実績</v>
      </c>
      <c r="G432" s="6">
        <v>1650</v>
      </c>
      <c r="H432" s="6" t="s">
        <v>149</v>
      </c>
    </row>
    <row r="433" spans="1:8" x14ac:dyDescent="0.35">
      <c r="A433" s="7">
        <v>46076</v>
      </c>
      <c r="B433" s="5" t="s">
        <v>15</v>
      </c>
      <c r="C433" s="5" t="s">
        <v>57</v>
      </c>
      <c r="D433" s="5" t="s">
        <v>19</v>
      </c>
      <c r="E433" s="5">
        <f t="shared" si="13"/>
        <v>2</v>
      </c>
      <c r="F433" s="5" t="str">
        <f t="shared" si="12"/>
        <v>習い事英会話2実績</v>
      </c>
      <c r="G433" s="6">
        <v>2980</v>
      </c>
      <c r="H433" s="6"/>
    </row>
    <row r="434" spans="1:8" x14ac:dyDescent="0.35">
      <c r="A434" s="7">
        <v>46077</v>
      </c>
      <c r="B434" s="5" t="s">
        <v>7</v>
      </c>
      <c r="C434" s="5" t="s">
        <v>10</v>
      </c>
      <c r="D434" s="5" t="s">
        <v>19</v>
      </c>
      <c r="E434" s="5">
        <f t="shared" si="13"/>
        <v>2</v>
      </c>
      <c r="F434" s="5" t="str">
        <f t="shared" si="12"/>
        <v>光熱費ガス2実績</v>
      </c>
      <c r="G434" s="6">
        <v>10547</v>
      </c>
      <c r="H434" s="6"/>
    </row>
    <row r="435" spans="1:8" x14ac:dyDescent="0.35">
      <c r="A435" s="7">
        <v>46077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5080</v>
      </c>
      <c r="H435" s="6" t="s">
        <v>150</v>
      </c>
    </row>
    <row r="436" spans="1:8" x14ac:dyDescent="0.35">
      <c r="A436" s="7">
        <v>46078</v>
      </c>
      <c r="B436" s="5" t="s">
        <v>0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家賃-2実績</v>
      </c>
      <c r="G436" s="6">
        <v>120829</v>
      </c>
      <c r="H436" s="6"/>
    </row>
    <row r="437" spans="1:8" x14ac:dyDescent="0.35">
      <c r="A437" s="7">
        <v>46078</v>
      </c>
      <c r="B437" s="5" t="s">
        <v>13</v>
      </c>
      <c r="C437" s="5" t="s">
        <v>45</v>
      </c>
      <c r="D437" s="5" t="s">
        <v>19</v>
      </c>
      <c r="E437" s="5">
        <f t="shared" si="13"/>
        <v>2</v>
      </c>
      <c r="F437" s="5" t="str">
        <f t="shared" si="12"/>
        <v>通信料GPS2実績</v>
      </c>
      <c r="G437" s="6">
        <v>539</v>
      </c>
      <c r="H437" s="6"/>
    </row>
    <row r="438" spans="1:8" x14ac:dyDescent="0.35">
      <c r="A438" s="7">
        <v>46078</v>
      </c>
      <c r="B438" s="5" t="s">
        <v>13</v>
      </c>
      <c r="C438" s="5" t="s">
        <v>2</v>
      </c>
      <c r="D438" s="5" t="s">
        <v>19</v>
      </c>
      <c r="E438" s="5">
        <f t="shared" si="13"/>
        <v>2</v>
      </c>
      <c r="F438" s="5" t="str">
        <f t="shared" si="12"/>
        <v>通信料りょう2実績</v>
      </c>
      <c r="G438" s="6">
        <v>3480</v>
      </c>
      <c r="H438" s="6"/>
    </row>
    <row r="439" spans="1:8" x14ac:dyDescent="0.35">
      <c r="A439" s="7">
        <v>46078</v>
      </c>
      <c r="B439" s="5" t="s">
        <v>13</v>
      </c>
      <c r="C439" s="5" t="s">
        <v>4</v>
      </c>
      <c r="D439" s="5" t="s">
        <v>19</v>
      </c>
      <c r="E439" s="5">
        <f t="shared" si="13"/>
        <v>2</v>
      </c>
      <c r="F439" s="5" t="str">
        <f t="shared" si="12"/>
        <v>通信料ゆっこ2実績</v>
      </c>
      <c r="G439" s="6">
        <v>2559</v>
      </c>
      <c r="H439" s="6"/>
    </row>
    <row r="440" spans="1:8" x14ac:dyDescent="0.35">
      <c r="A440" s="7">
        <v>46078</v>
      </c>
      <c r="B440" s="5" t="s">
        <v>16</v>
      </c>
      <c r="C440" s="5" t="s">
        <v>61</v>
      </c>
      <c r="D440" s="5" t="s">
        <v>19</v>
      </c>
      <c r="E440" s="5">
        <f t="shared" si="13"/>
        <v>2</v>
      </c>
      <c r="F440" s="5" t="str">
        <f t="shared" si="12"/>
        <v>保険ゆっこ医療2実績</v>
      </c>
      <c r="G440" s="6">
        <v>2924</v>
      </c>
      <c r="H440" s="6"/>
    </row>
    <row r="441" spans="1:8" x14ac:dyDescent="0.35">
      <c r="A441" s="7">
        <v>46078</v>
      </c>
      <c r="B441" s="5" t="s">
        <v>47</v>
      </c>
      <c r="C441" s="5" t="s">
        <v>49</v>
      </c>
      <c r="D441" s="5" t="s">
        <v>19</v>
      </c>
      <c r="E441" s="5">
        <f t="shared" si="13"/>
        <v>2</v>
      </c>
      <c r="F441" s="5" t="str">
        <f t="shared" si="12"/>
        <v>サブスクiCloud2実績</v>
      </c>
      <c r="G441" s="6">
        <v>450</v>
      </c>
      <c r="H441" s="6"/>
    </row>
    <row r="442" spans="1:8" x14ac:dyDescent="0.35">
      <c r="A442" s="7">
        <v>46078</v>
      </c>
      <c r="B442" s="5" t="s">
        <v>16</v>
      </c>
      <c r="C442" s="5" t="s">
        <v>59</v>
      </c>
      <c r="D442" s="5" t="s">
        <v>19</v>
      </c>
      <c r="E442" s="5">
        <f t="shared" si="13"/>
        <v>2</v>
      </c>
      <c r="F442" s="5" t="str">
        <f t="shared" si="12"/>
        <v>保険りょう死亡2実績</v>
      </c>
      <c r="G442" s="6">
        <v>1780</v>
      </c>
      <c r="H442" s="6"/>
    </row>
    <row r="443" spans="1:8" x14ac:dyDescent="0.35">
      <c r="A443" s="7">
        <v>46078</v>
      </c>
      <c r="B443" s="5" t="s">
        <v>16</v>
      </c>
      <c r="C443" s="5" t="s">
        <v>60</v>
      </c>
      <c r="D443" s="5" t="s">
        <v>19</v>
      </c>
      <c r="E443" s="5">
        <f t="shared" si="13"/>
        <v>2</v>
      </c>
      <c r="F443" s="5" t="str">
        <f t="shared" si="12"/>
        <v>保険りょう医療2実績</v>
      </c>
      <c r="G443" s="6">
        <v>2572</v>
      </c>
      <c r="H443" s="6"/>
    </row>
    <row r="444" spans="1:8" x14ac:dyDescent="0.35">
      <c r="A444" s="7">
        <v>46080</v>
      </c>
      <c r="B444" s="5" t="s">
        <v>21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医療費-2実績</v>
      </c>
      <c r="G444" s="6">
        <v>2290</v>
      </c>
      <c r="H444" s="6" t="s">
        <v>34</v>
      </c>
    </row>
    <row r="445" spans="1:8" x14ac:dyDescent="0.35">
      <c r="A445" s="7">
        <v>46081</v>
      </c>
      <c r="B445" s="5" t="s">
        <v>3</v>
      </c>
      <c r="C445" s="5" t="s">
        <v>9</v>
      </c>
      <c r="D445" s="5" t="s">
        <v>19</v>
      </c>
      <c r="E445" s="5">
        <f t="shared" si="13"/>
        <v>2</v>
      </c>
      <c r="F445" s="5" t="str">
        <f t="shared" si="12"/>
        <v>生活費外食2実績</v>
      </c>
      <c r="G445" s="6">
        <v>3100</v>
      </c>
      <c r="H445" s="6" t="s">
        <v>151</v>
      </c>
    </row>
    <row r="446" spans="1:8" x14ac:dyDescent="0.35">
      <c r="A446" s="7">
        <v>46080</v>
      </c>
      <c r="B446" s="5" t="s">
        <v>14</v>
      </c>
      <c r="C446" s="5" t="s">
        <v>20</v>
      </c>
      <c r="D446" s="5" t="s">
        <v>19</v>
      </c>
      <c r="E446" s="5">
        <f t="shared" si="13"/>
        <v>2</v>
      </c>
      <c r="F446" s="5" t="str">
        <f t="shared" si="12"/>
        <v>化粧品-2実績</v>
      </c>
      <c r="G446" s="6">
        <v>1430</v>
      </c>
      <c r="H446" s="6" t="s">
        <v>152</v>
      </c>
    </row>
    <row r="447" spans="1:8" x14ac:dyDescent="0.35">
      <c r="A447" s="7">
        <v>46078</v>
      </c>
      <c r="B447" s="5" t="s">
        <v>6</v>
      </c>
      <c r="C447" s="5" t="s">
        <v>8</v>
      </c>
      <c r="D447" s="5" t="s">
        <v>19</v>
      </c>
      <c r="E447" s="5">
        <f t="shared" si="13"/>
        <v>2</v>
      </c>
      <c r="F447" s="5" t="str">
        <f t="shared" si="12"/>
        <v>学費ことは2実績</v>
      </c>
      <c r="G447" s="6">
        <v>988</v>
      </c>
      <c r="H447" s="6" t="s">
        <v>153</v>
      </c>
    </row>
    <row r="448" spans="1:8" x14ac:dyDescent="0.35">
      <c r="A448" s="7">
        <v>46081</v>
      </c>
      <c r="B448" s="5" t="s">
        <v>3</v>
      </c>
      <c r="C448" s="5" t="s">
        <v>20</v>
      </c>
      <c r="D448" s="5" t="s">
        <v>19</v>
      </c>
      <c r="E448" s="5">
        <f t="shared" si="13"/>
        <v>2</v>
      </c>
      <c r="F448" s="5" t="str">
        <f t="shared" si="12"/>
        <v>生活費-2実績</v>
      </c>
      <c r="G448" s="6">
        <v>107913</v>
      </c>
      <c r="H448" s="6"/>
    </row>
    <row r="449" spans="1:8" x14ac:dyDescent="0.35">
      <c r="A449" s="7">
        <v>46078</v>
      </c>
      <c r="B449" s="5" t="s">
        <v>87</v>
      </c>
      <c r="C449" s="5" t="s">
        <v>31</v>
      </c>
      <c r="D449" s="5" t="s">
        <v>19</v>
      </c>
      <c r="E449" s="5">
        <f t="shared" si="13"/>
        <v>2</v>
      </c>
      <c r="F449" s="5" t="str">
        <f>B449&amp;C449&amp;E449&amp;D449</f>
        <v>こずかいゆっこ2実績</v>
      </c>
      <c r="G449" s="6">
        <v>25000</v>
      </c>
      <c r="H449" s="6"/>
    </row>
    <row r="450" spans="1:8" x14ac:dyDescent="0.35">
      <c r="A450" s="7">
        <v>46078</v>
      </c>
      <c r="B450" s="5" t="s">
        <v>87</v>
      </c>
      <c r="C450" s="5" t="s">
        <v>2</v>
      </c>
      <c r="D450" s="5" t="s">
        <v>19</v>
      </c>
      <c r="E450" s="5">
        <f t="shared" si="13"/>
        <v>2</v>
      </c>
      <c r="F450" s="5" t="str">
        <f t="shared" ref="F450:F511" si="14">B450&amp;C450&amp;E450&amp;D450</f>
        <v>こずかいりょう2実績</v>
      </c>
      <c r="G450" s="6">
        <v>25000</v>
      </c>
      <c r="H450" s="6"/>
    </row>
    <row r="451" spans="1:8" x14ac:dyDescent="0.35">
      <c r="A451" s="7">
        <v>46081</v>
      </c>
      <c r="B451" s="5" t="s">
        <v>17</v>
      </c>
      <c r="C451" s="5" t="s">
        <v>20</v>
      </c>
      <c r="D451" s="5" t="s">
        <v>19</v>
      </c>
      <c r="E451" s="5">
        <f t="shared" si="13"/>
        <v>2</v>
      </c>
      <c r="F451" s="5" t="str">
        <f t="shared" si="14"/>
        <v>奨学金-2実績</v>
      </c>
      <c r="G451" s="6">
        <v>10125</v>
      </c>
      <c r="H451" s="6"/>
    </row>
    <row r="452" spans="1:8" x14ac:dyDescent="0.35">
      <c r="A452" s="7">
        <v>46081</v>
      </c>
      <c r="B452" s="5" t="s">
        <v>15</v>
      </c>
      <c r="C452" s="5" t="s">
        <v>55</v>
      </c>
      <c r="D452" s="5" t="s">
        <v>19</v>
      </c>
      <c r="E452" s="5">
        <f t="shared" si="13"/>
        <v>2</v>
      </c>
      <c r="F452" s="5" t="str">
        <f t="shared" si="14"/>
        <v>習い事バレエ2実績</v>
      </c>
      <c r="G452" s="6">
        <v>9020</v>
      </c>
      <c r="H452" s="6"/>
    </row>
    <row r="453" spans="1:8" x14ac:dyDescent="0.35">
      <c r="A453" s="7">
        <v>46081</v>
      </c>
      <c r="B453" s="5" t="s">
        <v>15</v>
      </c>
      <c r="C453" s="5" t="s">
        <v>54</v>
      </c>
      <c r="D453" s="5" t="s">
        <v>19</v>
      </c>
      <c r="E453" s="5">
        <f t="shared" si="13"/>
        <v>2</v>
      </c>
      <c r="F453" s="5" t="str">
        <f t="shared" si="14"/>
        <v>習い事公文2実績</v>
      </c>
      <c r="G453" s="6">
        <v>14300</v>
      </c>
      <c r="H453" s="6"/>
    </row>
    <row r="454" spans="1:8" x14ac:dyDescent="0.35">
      <c r="A454" s="7">
        <v>46081</v>
      </c>
      <c r="B454" s="5" t="s">
        <v>69</v>
      </c>
      <c r="C454" s="5" t="s">
        <v>4</v>
      </c>
      <c r="D454" s="5" t="s">
        <v>19</v>
      </c>
      <c r="E454" s="5">
        <f t="shared" si="13"/>
        <v>2</v>
      </c>
      <c r="F454" s="5" t="str">
        <f t="shared" si="14"/>
        <v>祝い事ゆっこ2実績</v>
      </c>
      <c r="G454" s="6">
        <v>20000</v>
      </c>
      <c r="H454" s="6"/>
    </row>
    <row r="455" spans="1:8" x14ac:dyDescent="0.35">
      <c r="A455" s="7">
        <v>46080</v>
      </c>
      <c r="B455" s="5" t="s">
        <v>1</v>
      </c>
      <c r="C455" s="5" t="s">
        <v>73</v>
      </c>
      <c r="D455" s="5" t="s">
        <v>19</v>
      </c>
      <c r="E455" s="5">
        <f t="shared" si="13"/>
        <v>2</v>
      </c>
      <c r="F455" s="5" t="str">
        <f t="shared" si="14"/>
        <v>服子供2実績</v>
      </c>
      <c r="G455" s="6">
        <v>3876</v>
      </c>
      <c r="H455" s="6" t="s">
        <v>154</v>
      </c>
    </row>
    <row r="456" spans="1:8" x14ac:dyDescent="0.35">
      <c r="A456" s="7">
        <v>46080</v>
      </c>
      <c r="B456" s="5" t="s">
        <v>1</v>
      </c>
      <c r="C456" s="5" t="s">
        <v>4</v>
      </c>
      <c r="D456" s="5" t="s">
        <v>19</v>
      </c>
      <c r="E456" s="5">
        <f t="shared" si="13"/>
        <v>2</v>
      </c>
      <c r="F456" s="5" t="str">
        <f t="shared" si="14"/>
        <v>服ゆっこ2実績</v>
      </c>
      <c r="G456" s="6">
        <v>10140</v>
      </c>
      <c r="H456" s="6" t="s">
        <v>154</v>
      </c>
    </row>
    <row r="457" spans="1:8" x14ac:dyDescent="0.35">
      <c r="A457" s="7">
        <v>46080</v>
      </c>
      <c r="B457" s="5" t="s">
        <v>1</v>
      </c>
      <c r="C457" s="5" t="s">
        <v>4</v>
      </c>
      <c r="D457" s="5" t="s">
        <v>19</v>
      </c>
      <c r="E457" s="5">
        <f t="shared" ref="E457:E520" si="15">MONTH(A457)</f>
        <v>2</v>
      </c>
      <c r="F457" s="5" t="str">
        <f t="shared" si="14"/>
        <v>服ゆっこ2実績</v>
      </c>
      <c r="G457" s="6">
        <v>8700</v>
      </c>
      <c r="H457" s="6"/>
    </row>
    <row r="458" spans="1:8" x14ac:dyDescent="0.35">
      <c r="A458" s="7">
        <v>46080</v>
      </c>
      <c r="B458" s="5" t="s">
        <v>1</v>
      </c>
      <c r="C458" s="5" t="s">
        <v>73</v>
      </c>
      <c r="D458" s="5" t="s">
        <v>19</v>
      </c>
      <c r="E458" s="5">
        <f t="shared" si="15"/>
        <v>2</v>
      </c>
      <c r="F458" s="5" t="str">
        <f t="shared" si="14"/>
        <v>服子供2実績</v>
      </c>
      <c r="G458" s="6">
        <v>8276</v>
      </c>
      <c r="H458" s="6"/>
    </row>
    <row r="459" spans="1:8" x14ac:dyDescent="0.35">
      <c r="A459" s="7">
        <v>46081</v>
      </c>
      <c r="B459" s="5" t="s">
        <v>1</v>
      </c>
      <c r="C459" s="5" t="s">
        <v>4</v>
      </c>
      <c r="D459" s="5" t="s">
        <v>19</v>
      </c>
      <c r="E459" s="5">
        <f t="shared" si="15"/>
        <v>2</v>
      </c>
      <c r="F459" s="5" t="str">
        <f t="shared" si="14"/>
        <v>服ゆっこ2実績</v>
      </c>
      <c r="G459" s="6">
        <v>8466</v>
      </c>
      <c r="H459" s="6"/>
    </row>
    <row r="460" spans="1:8" x14ac:dyDescent="0.35">
      <c r="A460" s="7">
        <v>46081</v>
      </c>
      <c r="B460" s="5" t="s">
        <v>156</v>
      </c>
      <c r="C460" s="5" t="s">
        <v>11</v>
      </c>
      <c r="D460" s="5" t="s">
        <v>19</v>
      </c>
      <c r="E460" s="5">
        <f t="shared" si="15"/>
        <v>2</v>
      </c>
      <c r="F460" s="5" t="str">
        <f t="shared" si="14"/>
        <v>娯楽費その他2実績</v>
      </c>
      <c r="G460" s="6">
        <v>5830</v>
      </c>
      <c r="H460" s="6" t="s">
        <v>155</v>
      </c>
    </row>
    <row r="461" spans="1:8" x14ac:dyDescent="0.35">
      <c r="A461" s="7">
        <v>46082</v>
      </c>
      <c r="B461" s="5" t="s">
        <v>11</v>
      </c>
      <c r="C461" s="5" t="s">
        <v>82</v>
      </c>
      <c r="D461" s="5" t="s">
        <v>19</v>
      </c>
      <c r="E461" s="5">
        <f t="shared" si="15"/>
        <v>3</v>
      </c>
      <c r="F461" s="5" t="str">
        <f t="shared" si="14"/>
        <v>その他父の日/母の日/誕生日3実績</v>
      </c>
      <c r="G461" s="6">
        <v>4980</v>
      </c>
      <c r="H461" s="6" t="s">
        <v>157</v>
      </c>
    </row>
    <row r="462" spans="1:8" x14ac:dyDescent="0.35">
      <c r="A462" s="7">
        <v>46082</v>
      </c>
      <c r="B462" s="5" t="s">
        <v>6</v>
      </c>
      <c r="C462" s="5" t="s">
        <v>5</v>
      </c>
      <c r="D462" s="5" t="s">
        <v>19</v>
      </c>
      <c r="E462" s="5">
        <f t="shared" si="15"/>
        <v>3</v>
      </c>
      <c r="F462" s="5" t="str">
        <f t="shared" si="14"/>
        <v>学費みなと3実績</v>
      </c>
      <c r="G462" s="6">
        <v>5150</v>
      </c>
      <c r="H462" s="6" t="s">
        <v>33</v>
      </c>
    </row>
    <row r="463" spans="1:8" x14ac:dyDescent="0.35">
      <c r="A463" s="7">
        <v>46082</v>
      </c>
      <c r="B463" s="5" t="s">
        <v>15</v>
      </c>
      <c r="C463" s="5" t="s">
        <v>55</v>
      </c>
      <c r="D463" s="5" t="s">
        <v>19</v>
      </c>
      <c r="E463" s="5">
        <f t="shared" si="15"/>
        <v>3</v>
      </c>
      <c r="F463" s="5" t="str">
        <f t="shared" si="14"/>
        <v>習い事バレエ3実績</v>
      </c>
      <c r="G463" s="6">
        <v>9350</v>
      </c>
      <c r="H463" s="6" t="s">
        <v>158</v>
      </c>
    </row>
    <row r="464" spans="1:8" x14ac:dyDescent="0.35">
      <c r="A464" s="7">
        <v>46084</v>
      </c>
      <c r="B464" s="5" t="s">
        <v>3</v>
      </c>
      <c r="C464" s="5" t="s">
        <v>9</v>
      </c>
      <c r="D464" s="5" t="s">
        <v>19</v>
      </c>
      <c r="E464" s="5">
        <f t="shared" si="15"/>
        <v>3</v>
      </c>
      <c r="F464" s="5" t="str">
        <f t="shared" si="14"/>
        <v>生活費外食3実績</v>
      </c>
      <c r="G464" s="6">
        <v>700</v>
      </c>
      <c r="H464" s="6" t="s">
        <v>159</v>
      </c>
    </row>
    <row r="465" spans="1:8" x14ac:dyDescent="0.35">
      <c r="A465" s="7">
        <v>46085</v>
      </c>
      <c r="B465" s="5" t="s">
        <v>14</v>
      </c>
      <c r="C465" s="5" t="s">
        <v>20</v>
      </c>
      <c r="D465" s="5" t="s">
        <v>19</v>
      </c>
      <c r="E465" s="5">
        <f t="shared" si="15"/>
        <v>3</v>
      </c>
      <c r="F465" s="5" t="str">
        <f t="shared" si="14"/>
        <v>化粧品-3実績</v>
      </c>
      <c r="G465" s="6">
        <v>572</v>
      </c>
      <c r="H465" s="6" t="s">
        <v>160</v>
      </c>
    </row>
    <row r="466" spans="1:8" x14ac:dyDescent="0.35">
      <c r="A466" s="7">
        <v>46085</v>
      </c>
      <c r="B466" s="5" t="s">
        <v>21</v>
      </c>
      <c r="C466" s="5" t="s">
        <v>20</v>
      </c>
      <c r="D466" s="5" t="s">
        <v>19</v>
      </c>
      <c r="E466" s="5">
        <f t="shared" si="15"/>
        <v>3</v>
      </c>
      <c r="F466" s="5" t="str">
        <f t="shared" si="14"/>
        <v>医療費-3実績</v>
      </c>
      <c r="G466" s="6">
        <v>1078</v>
      </c>
      <c r="H466" s="6" t="s">
        <v>161</v>
      </c>
    </row>
    <row r="467" spans="1:8" x14ac:dyDescent="0.35">
      <c r="A467" s="7">
        <v>46087</v>
      </c>
      <c r="B467" s="5" t="s">
        <v>6</v>
      </c>
      <c r="C467" s="5" t="s">
        <v>5</v>
      </c>
      <c r="D467" s="5" t="s">
        <v>19</v>
      </c>
      <c r="E467" s="5">
        <f t="shared" si="15"/>
        <v>3</v>
      </c>
      <c r="F467" s="5" t="str">
        <f t="shared" si="14"/>
        <v>学費みなと3実績</v>
      </c>
      <c r="G467" s="6">
        <v>437</v>
      </c>
      <c r="H467" s="6" t="s">
        <v>162</v>
      </c>
    </row>
    <row r="468" spans="1:8" x14ac:dyDescent="0.35">
      <c r="A468" s="7">
        <v>46087</v>
      </c>
      <c r="B468" s="5" t="s">
        <v>21</v>
      </c>
      <c r="C468" s="5" t="s">
        <v>20</v>
      </c>
      <c r="D468" s="5" t="s">
        <v>19</v>
      </c>
      <c r="E468" s="5">
        <f t="shared" si="15"/>
        <v>3</v>
      </c>
      <c r="F468" s="5" t="str">
        <f t="shared" si="14"/>
        <v>医療費-3実績</v>
      </c>
      <c r="G468" s="6">
        <v>400</v>
      </c>
      <c r="H468" s="6" t="s">
        <v>163</v>
      </c>
    </row>
    <row r="469" spans="1:8" x14ac:dyDescent="0.35">
      <c r="A469" s="7">
        <v>46088</v>
      </c>
      <c r="B469" s="5" t="s">
        <v>12</v>
      </c>
      <c r="C469" s="5" t="s">
        <v>4</v>
      </c>
      <c r="D469" s="5" t="s">
        <v>19</v>
      </c>
      <c r="E469" s="5">
        <f t="shared" si="15"/>
        <v>3</v>
      </c>
      <c r="F469" s="5" t="str">
        <f t="shared" si="14"/>
        <v>美容室ゆっこ3実績</v>
      </c>
      <c r="G469" s="6">
        <v>17150</v>
      </c>
      <c r="H469" s="6" t="s">
        <v>164</v>
      </c>
    </row>
    <row r="470" spans="1:8" x14ac:dyDescent="0.35">
      <c r="A470" s="7">
        <v>46088</v>
      </c>
      <c r="B470" s="5" t="s">
        <v>3</v>
      </c>
      <c r="C470" s="5" t="s">
        <v>9</v>
      </c>
      <c r="D470" s="5" t="s">
        <v>19</v>
      </c>
      <c r="E470" s="5">
        <f t="shared" si="15"/>
        <v>3</v>
      </c>
      <c r="F470" s="5" t="str">
        <f t="shared" si="14"/>
        <v>生活費外食3実績</v>
      </c>
      <c r="G470" s="6">
        <v>905</v>
      </c>
      <c r="H470" s="6" t="s">
        <v>165</v>
      </c>
    </row>
    <row r="471" spans="1:8" x14ac:dyDescent="0.35">
      <c r="A471" s="7">
        <v>46089</v>
      </c>
      <c r="B471" s="5" t="s">
        <v>21</v>
      </c>
      <c r="C471" s="5" t="s">
        <v>20</v>
      </c>
      <c r="D471" s="5" t="s">
        <v>19</v>
      </c>
      <c r="E471" s="5">
        <f t="shared" si="15"/>
        <v>3</v>
      </c>
      <c r="F471" s="5" t="str">
        <f t="shared" si="14"/>
        <v>医療費-3実績</v>
      </c>
      <c r="G471" s="6">
        <v>1958</v>
      </c>
      <c r="H471" s="6" t="s">
        <v>166</v>
      </c>
    </row>
    <row r="472" spans="1:8" x14ac:dyDescent="0.35">
      <c r="A472" s="7">
        <v>46089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1470</v>
      </c>
      <c r="H472" s="6" t="s">
        <v>167</v>
      </c>
    </row>
    <row r="473" spans="1:8" x14ac:dyDescent="0.35">
      <c r="A473" s="7">
        <v>46089</v>
      </c>
      <c r="B473" s="5" t="s">
        <v>29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ふるさと納税-3実績</v>
      </c>
      <c r="G473" s="6">
        <v>12000</v>
      </c>
      <c r="H473" s="6" t="s">
        <v>168</v>
      </c>
    </row>
    <row r="474" spans="1:8" x14ac:dyDescent="0.35">
      <c r="A474" s="7">
        <v>46089</v>
      </c>
      <c r="B474" s="5" t="s">
        <v>29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ふるさと納税-3実績</v>
      </c>
      <c r="G474" s="6">
        <v>15000</v>
      </c>
      <c r="H474" s="6" t="s">
        <v>169</v>
      </c>
    </row>
    <row r="475" spans="1:8" x14ac:dyDescent="0.35">
      <c r="A475" s="7">
        <v>46089</v>
      </c>
      <c r="B475" s="5" t="s">
        <v>1</v>
      </c>
      <c r="C475" s="5" t="s">
        <v>2</v>
      </c>
      <c r="D475" s="5" t="s">
        <v>19</v>
      </c>
      <c r="E475" s="5">
        <f t="shared" si="15"/>
        <v>3</v>
      </c>
      <c r="F475" s="5" t="str">
        <f t="shared" si="14"/>
        <v>服りょう3実績</v>
      </c>
      <c r="G475" s="6">
        <v>4000</v>
      </c>
      <c r="H475" s="6" t="s">
        <v>171</v>
      </c>
    </row>
    <row r="476" spans="1:8" x14ac:dyDescent="0.35">
      <c r="A476" s="7">
        <v>46089</v>
      </c>
      <c r="B476" s="5" t="s">
        <v>11</v>
      </c>
      <c r="C476" s="5" t="s">
        <v>85</v>
      </c>
      <c r="D476" s="5" t="s">
        <v>19</v>
      </c>
      <c r="E476" s="5">
        <f t="shared" si="15"/>
        <v>3</v>
      </c>
      <c r="F476" s="5" t="str">
        <f t="shared" si="14"/>
        <v>その他予備費3実績</v>
      </c>
      <c r="G476" s="6">
        <v>5000</v>
      </c>
      <c r="H476" s="6" t="s">
        <v>170</v>
      </c>
    </row>
    <row r="477" spans="1:8" x14ac:dyDescent="0.35">
      <c r="A477" s="7">
        <v>46113</v>
      </c>
      <c r="B477" s="5" t="s">
        <v>7</v>
      </c>
      <c r="C477" s="5" t="s">
        <v>40</v>
      </c>
      <c r="D477" s="5" t="s">
        <v>19</v>
      </c>
      <c r="E477" s="5">
        <f t="shared" si="15"/>
        <v>4</v>
      </c>
      <c r="F477" s="5" t="str">
        <f t="shared" si="14"/>
        <v>光熱費電気4実績</v>
      </c>
      <c r="G477" s="6">
        <v>19440</v>
      </c>
      <c r="H477" s="6"/>
    </row>
    <row r="478" spans="1:8" x14ac:dyDescent="0.35">
      <c r="A478" s="7">
        <v>46091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2786</v>
      </c>
      <c r="H478" s="6" t="s">
        <v>172</v>
      </c>
    </row>
    <row r="479" spans="1:8" x14ac:dyDescent="0.35">
      <c r="A479" s="7">
        <v>46091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390</v>
      </c>
      <c r="H479" s="6" t="s">
        <v>150</v>
      </c>
    </row>
    <row r="480" spans="1:8" x14ac:dyDescent="0.35">
      <c r="A480" s="7">
        <v>46094</v>
      </c>
      <c r="B480" s="5" t="s">
        <v>21</v>
      </c>
      <c r="C480" s="5" t="s">
        <v>20</v>
      </c>
      <c r="D480" s="5" t="s">
        <v>19</v>
      </c>
      <c r="E480" s="5">
        <f t="shared" si="15"/>
        <v>3</v>
      </c>
      <c r="F480" s="5" t="str">
        <f t="shared" si="14"/>
        <v>医療費-3実績</v>
      </c>
      <c r="G480" s="6">
        <v>1400</v>
      </c>
      <c r="H480" s="6" t="s">
        <v>34</v>
      </c>
    </row>
    <row r="481" spans="1:8" x14ac:dyDescent="0.35">
      <c r="A481" s="7">
        <v>46095</v>
      </c>
      <c r="B481" s="5" t="s">
        <v>1</v>
      </c>
      <c r="C481" s="5" t="s">
        <v>73</v>
      </c>
      <c r="D481" s="5" t="s">
        <v>19</v>
      </c>
      <c r="E481" s="5">
        <f t="shared" si="15"/>
        <v>3</v>
      </c>
      <c r="F481" s="5" t="str">
        <f t="shared" si="14"/>
        <v>服子供3実績</v>
      </c>
      <c r="G481" s="6">
        <v>437</v>
      </c>
      <c r="H481" s="6" t="s">
        <v>173</v>
      </c>
    </row>
    <row r="482" spans="1:8" x14ac:dyDescent="0.35">
      <c r="A482" s="7">
        <v>46095</v>
      </c>
      <c r="B482" s="5" t="s">
        <v>6</v>
      </c>
      <c r="C482" s="5" t="s">
        <v>5</v>
      </c>
      <c r="D482" s="5" t="s">
        <v>19</v>
      </c>
      <c r="E482" s="5">
        <f t="shared" si="15"/>
        <v>3</v>
      </c>
      <c r="F482" s="5" t="str">
        <f t="shared" si="14"/>
        <v>学費みなと3実績</v>
      </c>
      <c r="G482" s="6">
        <v>1101</v>
      </c>
      <c r="H482" s="6" t="s">
        <v>174</v>
      </c>
    </row>
    <row r="483" spans="1:8" x14ac:dyDescent="0.35">
      <c r="A483" s="7">
        <v>46095</v>
      </c>
      <c r="B483" s="5" t="s">
        <v>6</v>
      </c>
      <c r="C483" s="5" t="s">
        <v>8</v>
      </c>
      <c r="D483" s="5" t="s">
        <v>19</v>
      </c>
      <c r="E483" s="5">
        <f t="shared" si="15"/>
        <v>3</v>
      </c>
      <c r="F483" s="5" t="str">
        <f t="shared" si="14"/>
        <v>学費ことは3実績</v>
      </c>
      <c r="G483" s="6">
        <v>1101</v>
      </c>
      <c r="H483" s="6" t="s">
        <v>174</v>
      </c>
    </row>
    <row r="484" spans="1:8" x14ac:dyDescent="0.35">
      <c r="A484" s="7">
        <v>46095</v>
      </c>
      <c r="B484" s="5" t="s">
        <v>3</v>
      </c>
      <c r="C484" s="5" t="s">
        <v>9</v>
      </c>
      <c r="D484" s="5" t="s">
        <v>19</v>
      </c>
      <c r="E484" s="5">
        <f t="shared" si="15"/>
        <v>3</v>
      </c>
      <c r="F484" s="5" t="str">
        <f t="shared" si="14"/>
        <v>生活費外食3実績</v>
      </c>
      <c r="G484" s="6">
        <v>2690</v>
      </c>
      <c r="H484" s="6" t="s">
        <v>175</v>
      </c>
    </row>
    <row r="485" spans="1:8" x14ac:dyDescent="0.35">
      <c r="A485" s="7">
        <v>46096</v>
      </c>
      <c r="B485" s="5" t="s">
        <v>14</v>
      </c>
      <c r="C485" s="5" t="s">
        <v>20</v>
      </c>
      <c r="D485" s="5" t="s">
        <v>19</v>
      </c>
      <c r="E485" s="5">
        <f t="shared" si="15"/>
        <v>3</v>
      </c>
      <c r="F485" s="5" t="str">
        <f t="shared" si="14"/>
        <v>化粧品-3実績</v>
      </c>
      <c r="G485" s="6">
        <f>6298*(4730)/(4730+2640)</f>
        <v>4042</v>
      </c>
      <c r="H485" s="6" t="s">
        <v>177</v>
      </c>
    </row>
    <row r="486" spans="1:8" x14ac:dyDescent="0.35">
      <c r="A486" s="7">
        <v>46096</v>
      </c>
      <c r="B486" s="5" t="s">
        <v>14</v>
      </c>
      <c r="C486" s="5" t="s">
        <v>20</v>
      </c>
      <c r="D486" s="5" t="s">
        <v>19</v>
      </c>
      <c r="E486" s="5">
        <f t="shared" si="15"/>
        <v>3</v>
      </c>
      <c r="F486" s="5" t="str">
        <f t="shared" si="14"/>
        <v>化粧品-3実績</v>
      </c>
      <c r="G486" s="6">
        <f>6298-G485</f>
        <v>2256</v>
      </c>
      <c r="H486" s="6" t="s">
        <v>176</v>
      </c>
    </row>
    <row r="487" spans="1:8" x14ac:dyDescent="0.35">
      <c r="A487" s="7">
        <v>46096</v>
      </c>
      <c r="B487" s="5" t="s">
        <v>14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化粧品-3実績</v>
      </c>
      <c r="G487" s="6">
        <v>5120</v>
      </c>
      <c r="H487" s="6" t="s">
        <v>181</v>
      </c>
    </row>
    <row r="488" spans="1:8" x14ac:dyDescent="0.35">
      <c r="A488" s="7">
        <v>46096</v>
      </c>
      <c r="B488" s="5" t="s">
        <v>14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化粧品-3実績</v>
      </c>
      <c r="G488" s="6">
        <v>2800</v>
      </c>
      <c r="H488" s="6" t="s">
        <v>182</v>
      </c>
    </row>
    <row r="489" spans="1:8" x14ac:dyDescent="0.35">
      <c r="A489" s="7">
        <v>46096</v>
      </c>
      <c r="B489" s="5" t="s">
        <v>14</v>
      </c>
      <c r="C489" s="5" t="s">
        <v>20</v>
      </c>
      <c r="D489" s="5" t="s">
        <v>19</v>
      </c>
      <c r="E489" s="5">
        <f t="shared" si="15"/>
        <v>3</v>
      </c>
      <c r="F489" s="5" t="str">
        <f t="shared" si="14"/>
        <v>化粧品-3実績</v>
      </c>
      <c r="G489" s="6">
        <v>880</v>
      </c>
      <c r="H489" s="6" t="s">
        <v>180</v>
      </c>
    </row>
    <row r="490" spans="1:8" x14ac:dyDescent="0.35">
      <c r="A490" s="7">
        <v>46096</v>
      </c>
      <c r="B490" s="5" t="s">
        <v>14</v>
      </c>
      <c r="C490" s="5" t="s">
        <v>20</v>
      </c>
      <c r="D490" s="5" t="s">
        <v>19</v>
      </c>
      <c r="E490" s="5">
        <f t="shared" si="15"/>
        <v>3</v>
      </c>
      <c r="F490" s="5" t="str">
        <f t="shared" si="14"/>
        <v>化粧品-3実績</v>
      </c>
      <c r="G490" s="6">
        <v>3461</v>
      </c>
      <c r="H490" s="6" t="s">
        <v>179</v>
      </c>
    </row>
    <row r="491" spans="1:8" x14ac:dyDescent="0.35">
      <c r="A491" s="7">
        <v>46096</v>
      </c>
      <c r="B491" s="5" t="s">
        <v>14</v>
      </c>
      <c r="C491" s="5" t="s">
        <v>20</v>
      </c>
      <c r="D491" s="5" t="s">
        <v>19</v>
      </c>
      <c r="E491" s="5">
        <f t="shared" si="15"/>
        <v>3</v>
      </c>
      <c r="F491" s="5" t="str">
        <f t="shared" si="14"/>
        <v>化粧品-3実績</v>
      </c>
      <c r="G491" s="6">
        <v>5060</v>
      </c>
      <c r="H491" s="6" t="s">
        <v>178</v>
      </c>
    </row>
    <row r="492" spans="1:8" x14ac:dyDescent="0.35">
      <c r="A492" s="7">
        <v>46096</v>
      </c>
      <c r="B492" s="5" t="s">
        <v>11</v>
      </c>
      <c r="C492" s="5" t="s">
        <v>85</v>
      </c>
      <c r="D492" s="5" t="s">
        <v>19</v>
      </c>
      <c r="E492" s="5">
        <f t="shared" si="15"/>
        <v>3</v>
      </c>
      <c r="F492" s="5" t="str">
        <f t="shared" si="14"/>
        <v>その他予備費3実績</v>
      </c>
      <c r="G492" s="6">
        <v>1923</v>
      </c>
      <c r="H492" s="6" t="s">
        <v>184</v>
      </c>
    </row>
    <row r="493" spans="1:8" x14ac:dyDescent="0.35">
      <c r="A493" s="7">
        <v>46096</v>
      </c>
      <c r="B493" s="5" t="s">
        <v>1</v>
      </c>
      <c r="C493" s="5" t="s">
        <v>73</v>
      </c>
      <c r="D493" s="5" t="s">
        <v>19</v>
      </c>
      <c r="E493" s="5">
        <f t="shared" si="15"/>
        <v>3</v>
      </c>
      <c r="F493" s="5" t="str">
        <f t="shared" si="14"/>
        <v>服子供3実績</v>
      </c>
      <c r="G493" s="6">
        <v>880</v>
      </c>
      <c r="H493" s="6" t="s">
        <v>185</v>
      </c>
    </row>
    <row r="494" spans="1:8" x14ac:dyDescent="0.35">
      <c r="A494" s="7">
        <v>46096</v>
      </c>
      <c r="B494" s="5" t="s">
        <v>1</v>
      </c>
      <c r="C494" s="5" t="s">
        <v>4</v>
      </c>
      <c r="D494" s="5" t="s">
        <v>19</v>
      </c>
      <c r="E494" s="5">
        <f t="shared" si="15"/>
        <v>3</v>
      </c>
      <c r="F494" s="5" t="str">
        <f t="shared" si="14"/>
        <v>服ゆっこ3実績</v>
      </c>
      <c r="G494" s="6">
        <v>1100</v>
      </c>
      <c r="H494" s="6" t="s">
        <v>186</v>
      </c>
    </row>
    <row r="495" spans="1:8" x14ac:dyDescent="0.35">
      <c r="A495" s="7">
        <v>46096</v>
      </c>
      <c r="B495" s="5" t="s">
        <v>1</v>
      </c>
      <c r="C495" s="5" t="s">
        <v>4</v>
      </c>
      <c r="D495" s="5" t="s">
        <v>19</v>
      </c>
      <c r="E495" s="5">
        <f t="shared" si="15"/>
        <v>3</v>
      </c>
      <c r="F495" s="5" t="str">
        <f t="shared" si="14"/>
        <v>服ゆっこ3実績</v>
      </c>
      <c r="G495" s="6">
        <v>12100</v>
      </c>
      <c r="H495" s="6" t="s">
        <v>183</v>
      </c>
    </row>
    <row r="496" spans="1:8" x14ac:dyDescent="0.35">
      <c r="A496" s="7">
        <v>46098</v>
      </c>
      <c r="B496" s="5" t="s">
        <v>3</v>
      </c>
      <c r="C496" s="5" t="s">
        <v>9</v>
      </c>
      <c r="D496" s="5" t="s">
        <v>19</v>
      </c>
      <c r="E496" s="5">
        <f t="shared" si="15"/>
        <v>3</v>
      </c>
      <c r="F496" s="5" t="str">
        <f t="shared" si="14"/>
        <v>生活費外食3実績</v>
      </c>
      <c r="G496" s="6">
        <v>5703</v>
      </c>
      <c r="H496" s="6" t="s">
        <v>187</v>
      </c>
    </row>
    <row r="497" spans="1:8" x14ac:dyDescent="0.35">
      <c r="A497" s="7">
        <v>46101</v>
      </c>
      <c r="B497" s="5" t="s">
        <v>0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家賃-3実績</v>
      </c>
      <c r="G497" s="6">
        <v>120829</v>
      </c>
      <c r="H497" s="6"/>
    </row>
    <row r="498" spans="1:8" x14ac:dyDescent="0.35">
      <c r="A498" s="7">
        <v>46101</v>
      </c>
      <c r="B498" s="5" t="s">
        <v>1</v>
      </c>
      <c r="C498" s="5" t="s">
        <v>73</v>
      </c>
      <c r="D498" s="5" t="s">
        <v>19</v>
      </c>
      <c r="E498" s="5">
        <f t="shared" si="15"/>
        <v>3</v>
      </c>
      <c r="F498" s="5" t="str">
        <f t="shared" si="14"/>
        <v>服子供3実績</v>
      </c>
      <c r="G498" s="6">
        <v>3406</v>
      </c>
      <c r="H498" s="6" t="s">
        <v>188</v>
      </c>
    </row>
    <row r="499" spans="1:8" x14ac:dyDescent="0.35">
      <c r="A499" s="7">
        <v>46102</v>
      </c>
      <c r="B499" s="5" t="s">
        <v>3</v>
      </c>
      <c r="C499" s="5" t="s">
        <v>9</v>
      </c>
      <c r="D499" s="5" t="s">
        <v>19</v>
      </c>
      <c r="E499" s="5">
        <f t="shared" si="15"/>
        <v>3</v>
      </c>
      <c r="F499" s="5" t="str">
        <f t="shared" si="14"/>
        <v>生活費外食3実績</v>
      </c>
      <c r="G499" s="6">
        <v>1431</v>
      </c>
      <c r="H499" s="6" t="s">
        <v>109</v>
      </c>
    </row>
    <row r="500" spans="1:8" x14ac:dyDescent="0.35">
      <c r="A500" s="7">
        <v>46104</v>
      </c>
      <c r="B500" s="5" t="s">
        <v>21</v>
      </c>
      <c r="C500" s="5" t="s">
        <v>20</v>
      </c>
      <c r="D500" s="5" t="s">
        <v>19</v>
      </c>
      <c r="E500" s="5">
        <f t="shared" si="15"/>
        <v>3</v>
      </c>
      <c r="F500" s="5" t="str">
        <f t="shared" si="14"/>
        <v>医療費-3実績</v>
      </c>
      <c r="G500" s="6">
        <v>200</v>
      </c>
      <c r="H500" s="6" t="s">
        <v>189</v>
      </c>
    </row>
    <row r="501" spans="1:8" x14ac:dyDescent="0.35">
      <c r="A501" s="7">
        <v>46105</v>
      </c>
      <c r="B501" s="5" t="s">
        <v>15</v>
      </c>
      <c r="C501" s="5" t="s">
        <v>57</v>
      </c>
      <c r="D501" s="5" t="s">
        <v>19</v>
      </c>
      <c r="E501" s="5">
        <f t="shared" si="15"/>
        <v>3</v>
      </c>
      <c r="F501" s="5" t="str">
        <f t="shared" si="14"/>
        <v>習い事英会話3実績</v>
      </c>
      <c r="G501" s="6">
        <v>2980</v>
      </c>
      <c r="H501" s="6"/>
    </row>
    <row r="502" spans="1:8" x14ac:dyDescent="0.35">
      <c r="A502" s="7">
        <v>46105</v>
      </c>
      <c r="B502" s="5" t="s">
        <v>11</v>
      </c>
      <c r="C502" s="5" t="s">
        <v>85</v>
      </c>
      <c r="D502" s="5" t="s">
        <v>19</v>
      </c>
      <c r="E502" s="5">
        <f t="shared" si="15"/>
        <v>3</v>
      </c>
      <c r="F502" s="5" t="str">
        <f t="shared" si="14"/>
        <v>その他予備費3実績</v>
      </c>
      <c r="G502" s="6">
        <v>3527</v>
      </c>
      <c r="H502" s="6" t="s">
        <v>190</v>
      </c>
    </row>
    <row r="503" spans="1:8" x14ac:dyDescent="0.35">
      <c r="A503" s="7">
        <v>46105</v>
      </c>
      <c r="B503" s="5" t="s">
        <v>6</v>
      </c>
      <c r="C503" s="5" t="s">
        <v>8</v>
      </c>
      <c r="D503" s="5" t="s">
        <v>19</v>
      </c>
      <c r="E503" s="5">
        <f t="shared" si="15"/>
        <v>3</v>
      </c>
      <c r="F503" s="5" t="str">
        <f t="shared" si="14"/>
        <v>学費ことは3実績</v>
      </c>
      <c r="G503" s="6">
        <v>7643</v>
      </c>
      <c r="H503" s="6" t="s">
        <v>191</v>
      </c>
    </row>
    <row r="504" spans="1:8" x14ac:dyDescent="0.35">
      <c r="A504" s="7">
        <v>46106</v>
      </c>
      <c r="B504" s="5" t="s">
        <v>13</v>
      </c>
      <c r="C504" s="5" t="s">
        <v>45</v>
      </c>
      <c r="D504" s="5" t="s">
        <v>19</v>
      </c>
      <c r="E504" s="5">
        <f t="shared" si="15"/>
        <v>3</v>
      </c>
      <c r="F504" s="5" t="str">
        <f t="shared" si="14"/>
        <v>通信料GPS3実績</v>
      </c>
      <c r="G504" s="6">
        <v>539</v>
      </c>
      <c r="H504" s="6"/>
    </row>
    <row r="505" spans="1:8" x14ac:dyDescent="0.35">
      <c r="A505" s="7">
        <v>46106</v>
      </c>
      <c r="B505" s="5" t="s">
        <v>13</v>
      </c>
      <c r="C505" s="5" t="s">
        <v>2</v>
      </c>
      <c r="D505" s="5" t="s">
        <v>19</v>
      </c>
      <c r="E505" s="5">
        <f t="shared" si="15"/>
        <v>3</v>
      </c>
      <c r="F505" s="5" t="str">
        <f t="shared" si="14"/>
        <v>通信料りょう3実績</v>
      </c>
      <c r="G505" s="6">
        <v>3369</v>
      </c>
      <c r="H505" s="6" t="s">
        <v>193</v>
      </c>
    </row>
    <row r="506" spans="1:8" x14ac:dyDescent="0.35">
      <c r="A506" s="7">
        <v>46106</v>
      </c>
      <c r="B506" s="5" t="s">
        <v>13</v>
      </c>
      <c r="C506" s="5" t="s">
        <v>2</v>
      </c>
      <c r="D506" s="5" t="s">
        <v>19</v>
      </c>
      <c r="E506" s="5">
        <f t="shared" si="15"/>
        <v>3</v>
      </c>
      <c r="F506" s="5" t="str">
        <f t="shared" si="14"/>
        <v>通信料りょう3実績</v>
      </c>
      <c r="G506" s="6">
        <v>1831</v>
      </c>
      <c r="H506" s="6" t="s">
        <v>194</v>
      </c>
    </row>
    <row r="507" spans="1:8" x14ac:dyDescent="0.35">
      <c r="A507" s="7">
        <v>46106</v>
      </c>
      <c r="B507" s="5" t="s">
        <v>13</v>
      </c>
      <c r="C507" s="5" t="s">
        <v>4</v>
      </c>
      <c r="D507" s="5" t="s">
        <v>19</v>
      </c>
      <c r="E507" s="5">
        <f t="shared" si="15"/>
        <v>3</v>
      </c>
      <c r="F507" s="5" t="str">
        <f t="shared" si="14"/>
        <v>通信料ゆっこ3実績</v>
      </c>
      <c r="G507" s="6">
        <v>3573</v>
      </c>
      <c r="H507" s="6"/>
    </row>
    <row r="508" spans="1:8" x14ac:dyDescent="0.35">
      <c r="A508" s="7">
        <v>46106</v>
      </c>
      <c r="B508" s="5" t="s">
        <v>16</v>
      </c>
      <c r="C508" s="5" t="s">
        <v>61</v>
      </c>
      <c r="D508" s="5" t="s">
        <v>19</v>
      </c>
      <c r="E508" s="5">
        <f t="shared" si="15"/>
        <v>3</v>
      </c>
      <c r="F508" s="5" t="str">
        <f t="shared" si="14"/>
        <v>保険ゆっこ医療3実績</v>
      </c>
      <c r="G508" s="6">
        <v>2924</v>
      </c>
      <c r="H508" s="6"/>
    </row>
    <row r="509" spans="1:8" x14ac:dyDescent="0.35">
      <c r="A509" s="7">
        <v>46106</v>
      </c>
      <c r="B509" s="5" t="s">
        <v>47</v>
      </c>
      <c r="C509" s="5" t="s">
        <v>49</v>
      </c>
      <c r="D509" s="5" t="s">
        <v>19</v>
      </c>
      <c r="E509" s="5">
        <f t="shared" si="15"/>
        <v>3</v>
      </c>
      <c r="F509" s="5" t="str">
        <f t="shared" si="14"/>
        <v>サブスクiCloud3実績</v>
      </c>
      <c r="G509" s="6">
        <v>450</v>
      </c>
      <c r="H509" s="6"/>
    </row>
    <row r="510" spans="1:8" x14ac:dyDescent="0.35">
      <c r="A510" s="7">
        <v>46106</v>
      </c>
      <c r="B510" s="5" t="s">
        <v>16</v>
      </c>
      <c r="C510" s="5" t="s">
        <v>59</v>
      </c>
      <c r="D510" s="5" t="s">
        <v>19</v>
      </c>
      <c r="E510" s="5">
        <f t="shared" si="15"/>
        <v>3</v>
      </c>
      <c r="F510" s="5" t="str">
        <f t="shared" si="14"/>
        <v>保険りょう死亡3実績</v>
      </c>
      <c r="G510" s="6">
        <v>1780</v>
      </c>
      <c r="H510" s="6"/>
    </row>
    <row r="511" spans="1:8" x14ac:dyDescent="0.35">
      <c r="A511" s="7">
        <v>46106</v>
      </c>
      <c r="B511" s="5" t="s">
        <v>16</v>
      </c>
      <c r="C511" s="5" t="s">
        <v>60</v>
      </c>
      <c r="D511" s="5" t="s">
        <v>19</v>
      </c>
      <c r="E511" s="5">
        <f t="shared" si="15"/>
        <v>3</v>
      </c>
      <c r="F511" s="5" t="str">
        <f t="shared" si="14"/>
        <v>保険りょう医療3実績</v>
      </c>
      <c r="G511" s="6">
        <v>2572</v>
      </c>
      <c r="H511" s="6"/>
    </row>
    <row r="512" spans="1:8" x14ac:dyDescent="0.35">
      <c r="A512" s="7">
        <v>46106</v>
      </c>
      <c r="B512" s="5" t="s">
        <v>87</v>
      </c>
      <c r="C512" s="5" t="s">
        <v>31</v>
      </c>
      <c r="D512" s="5" t="s">
        <v>19</v>
      </c>
      <c r="E512" s="5">
        <f t="shared" si="15"/>
        <v>3</v>
      </c>
      <c r="F512" s="5" t="str">
        <f>B512&amp;C512&amp;E512&amp;D512</f>
        <v>こずかいゆっこ3実績</v>
      </c>
      <c r="G512" s="6">
        <v>25000</v>
      </c>
      <c r="H512" s="6"/>
    </row>
    <row r="513" spans="1:9" x14ac:dyDescent="0.35">
      <c r="A513" s="7">
        <v>46106</v>
      </c>
      <c r="B513" s="5" t="s">
        <v>87</v>
      </c>
      <c r="C513" s="5" t="s">
        <v>2</v>
      </c>
      <c r="D513" s="5" t="s">
        <v>19</v>
      </c>
      <c r="E513" s="5">
        <f t="shared" si="15"/>
        <v>3</v>
      </c>
      <c r="F513" s="5" t="str">
        <f t="shared" ref="F513:F576" si="16">B513&amp;C513&amp;E513&amp;D513</f>
        <v>こずかいりょう3実績</v>
      </c>
      <c r="G513" s="6">
        <v>25000</v>
      </c>
      <c r="H513" s="6"/>
    </row>
    <row r="514" spans="1:9" x14ac:dyDescent="0.35">
      <c r="A514" s="7">
        <v>46106</v>
      </c>
      <c r="B514" s="5" t="s">
        <v>17</v>
      </c>
      <c r="C514" s="5" t="s">
        <v>20</v>
      </c>
      <c r="D514" s="5" t="s">
        <v>19</v>
      </c>
      <c r="E514" s="5">
        <f t="shared" si="15"/>
        <v>3</v>
      </c>
      <c r="F514" s="5" t="str">
        <f t="shared" si="16"/>
        <v>奨学金-3実績</v>
      </c>
      <c r="G514" s="6">
        <v>10125</v>
      </c>
      <c r="H514" s="6"/>
    </row>
    <row r="515" spans="1:9" x14ac:dyDescent="0.35">
      <c r="A515" s="7">
        <v>46106</v>
      </c>
      <c r="B515" s="5" t="s">
        <v>15</v>
      </c>
      <c r="C515" s="5" t="s">
        <v>55</v>
      </c>
      <c r="D515" s="5" t="s">
        <v>19</v>
      </c>
      <c r="E515" s="5">
        <f t="shared" si="15"/>
        <v>3</v>
      </c>
      <c r="F515" s="5" t="str">
        <f t="shared" si="16"/>
        <v>習い事バレエ3実績</v>
      </c>
      <c r="G515" s="6">
        <v>9020</v>
      </c>
      <c r="H515" s="6"/>
    </row>
    <row r="516" spans="1:9" x14ac:dyDescent="0.35">
      <c r="A516" s="7">
        <v>46106</v>
      </c>
      <c r="B516" s="5" t="s">
        <v>15</v>
      </c>
      <c r="C516" s="5" t="s">
        <v>54</v>
      </c>
      <c r="D516" s="5" t="s">
        <v>19</v>
      </c>
      <c r="E516" s="5">
        <f t="shared" si="15"/>
        <v>3</v>
      </c>
      <c r="F516" s="5" t="str">
        <f t="shared" si="16"/>
        <v>習い事公文3実績</v>
      </c>
      <c r="G516" s="6">
        <v>14960</v>
      </c>
      <c r="H516" s="6"/>
    </row>
    <row r="517" spans="1:9" x14ac:dyDescent="0.35">
      <c r="A517" s="7">
        <v>46112</v>
      </c>
      <c r="B517" s="5" t="s">
        <v>3</v>
      </c>
      <c r="C517" s="5" t="s">
        <v>20</v>
      </c>
      <c r="D517" s="5" t="s">
        <v>19</v>
      </c>
      <c r="E517" s="5">
        <f t="shared" si="15"/>
        <v>3</v>
      </c>
      <c r="F517" s="5" t="str">
        <f t="shared" si="16"/>
        <v>生活費-3実績</v>
      </c>
      <c r="G517" s="6">
        <v>108867</v>
      </c>
      <c r="H517" s="6"/>
    </row>
    <row r="518" spans="1:9" x14ac:dyDescent="0.35">
      <c r="A518" s="7">
        <v>46106</v>
      </c>
      <c r="B518" s="5" t="s">
        <v>7</v>
      </c>
      <c r="C518" s="5" t="s">
        <v>10</v>
      </c>
      <c r="D518" s="5" t="s">
        <v>19</v>
      </c>
      <c r="E518" s="5">
        <f t="shared" si="15"/>
        <v>3</v>
      </c>
      <c r="F518" s="5" t="str">
        <f t="shared" si="16"/>
        <v>光熱費ガス3実績</v>
      </c>
      <c r="G518" s="6">
        <v>9689</v>
      </c>
      <c r="H518" s="6" t="s">
        <v>196</v>
      </c>
      <c r="I518" t="s">
        <v>192</v>
      </c>
    </row>
    <row r="519" spans="1:9" x14ac:dyDescent="0.35">
      <c r="A519" s="7">
        <v>46106</v>
      </c>
      <c r="B519" s="5" t="s">
        <v>156</v>
      </c>
      <c r="C519" s="5" t="s">
        <v>11</v>
      </c>
      <c r="D519" s="5" t="s">
        <v>19</v>
      </c>
      <c r="E519" s="5">
        <f t="shared" si="15"/>
        <v>3</v>
      </c>
      <c r="F519" s="5" t="str">
        <f t="shared" si="16"/>
        <v>娯楽費その他3実績</v>
      </c>
      <c r="G519" s="6">
        <f>61995-6000+4810</f>
        <v>60805</v>
      </c>
      <c r="H519" s="6"/>
    </row>
    <row r="520" spans="1:9" x14ac:dyDescent="0.35">
      <c r="A520" s="7">
        <v>46106</v>
      </c>
      <c r="B520" s="5" t="s">
        <v>3</v>
      </c>
      <c r="C520" s="5" t="s">
        <v>9</v>
      </c>
      <c r="D520" s="5" t="s">
        <v>19</v>
      </c>
      <c r="E520" s="5">
        <f t="shared" si="15"/>
        <v>3</v>
      </c>
      <c r="F520" s="5" t="str">
        <f t="shared" si="16"/>
        <v>生活費外食3実績</v>
      </c>
      <c r="G520" s="6">
        <v>5710</v>
      </c>
      <c r="H520" s="6"/>
    </row>
    <row r="521" spans="1:9" x14ac:dyDescent="0.35">
      <c r="A521" s="7">
        <v>46110</v>
      </c>
      <c r="B521" s="5" t="s">
        <v>3</v>
      </c>
      <c r="C521" s="5" t="s">
        <v>9</v>
      </c>
      <c r="D521" s="5" t="s">
        <v>19</v>
      </c>
      <c r="E521" s="5">
        <f t="shared" ref="E521:E585" si="17">MONTH(A521)</f>
        <v>3</v>
      </c>
      <c r="F521" s="5" t="str">
        <f t="shared" si="16"/>
        <v>生活費外食3実績</v>
      </c>
      <c r="G521" s="6">
        <v>9075</v>
      </c>
      <c r="H521" s="6" t="s">
        <v>197</v>
      </c>
    </row>
    <row r="522" spans="1:9" x14ac:dyDescent="0.35">
      <c r="A522" s="7">
        <v>46110</v>
      </c>
      <c r="B522" s="5" t="s">
        <v>6</v>
      </c>
      <c r="C522" s="5" t="s">
        <v>5</v>
      </c>
      <c r="D522" s="5" t="s">
        <v>19</v>
      </c>
      <c r="E522" s="5">
        <f t="shared" si="17"/>
        <v>3</v>
      </c>
      <c r="F522" s="5" t="str">
        <f t="shared" si="16"/>
        <v>学費みなと3実績</v>
      </c>
      <c r="G522" s="6">
        <v>2000</v>
      </c>
      <c r="H522" s="6" t="s">
        <v>195</v>
      </c>
    </row>
    <row r="523" spans="1:9" x14ac:dyDescent="0.35">
      <c r="A523" s="7">
        <v>46110</v>
      </c>
      <c r="B523" s="5" t="s">
        <v>6</v>
      </c>
      <c r="C523" s="5" t="s">
        <v>8</v>
      </c>
      <c r="D523" s="5" t="s">
        <v>19</v>
      </c>
      <c r="E523" s="5">
        <f t="shared" si="17"/>
        <v>3</v>
      </c>
      <c r="F523" s="5" t="str">
        <f t="shared" si="16"/>
        <v>学費ことは3実績</v>
      </c>
      <c r="G523" s="6">
        <v>2000</v>
      </c>
      <c r="H523" s="6" t="s">
        <v>195</v>
      </c>
    </row>
    <row r="524" spans="1:9" x14ac:dyDescent="0.35">
      <c r="A524" s="7">
        <v>46110</v>
      </c>
      <c r="B524" s="5" t="s">
        <v>11</v>
      </c>
      <c r="C524" s="5" t="s">
        <v>81</v>
      </c>
      <c r="D524" s="5" t="s">
        <v>19</v>
      </c>
      <c r="E524" s="5">
        <f t="shared" si="17"/>
        <v>3</v>
      </c>
      <c r="F524" s="5" t="str">
        <f t="shared" si="16"/>
        <v>その他通勤定期3実績</v>
      </c>
      <c r="G524" s="6">
        <v>123830</v>
      </c>
      <c r="H524" s="6"/>
    </row>
    <row r="525" spans="1:9" x14ac:dyDescent="0.35">
      <c r="A525" s="7">
        <v>46113</v>
      </c>
      <c r="B525" s="5" t="s">
        <v>6</v>
      </c>
      <c r="C525" s="5" t="s">
        <v>5</v>
      </c>
      <c r="D525" s="5" t="s">
        <v>19</v>
      </c>
      <c r="E525" s="5">
        <f t="shared" si="17"/>
        <v>4</v>
      </c>
      <c r="F525" s="5" t="str">
        <f t="shared" si="16"/>
        <v>学費みなと4実績</v>
      </c>
      <c r="G525" s="6">
        <v>5150</v>
      </c>
      <c r="H525" s="6" t="s">
        <v>33</v>
      </c>
    </row>
    <row r="526" spans="1:9" x14ac:dyDescent="0.35">
      <c r="A526" s="7">
        <v>46111</v>
      </c>
      <c r="B526" s="5" t="s">
        <v>21</v>
      </c>
      <c r="C526" s="5" t="s">
        <v>20</v>
      </c>
      <c r="D526" s="5" t="s">
        <v>19</v>
      </c>
      <c r="E526" s="5">
        <f t="shared" si="17"/>
        <v>3</v>
      </c>
      <c r="F526" s="5" t="str">
        <f t="shared" si="16"/>
        <v>医療費-3実績</v>
      </c>
      <c r="G526" s="6">
        <v>1760</v>
      </c>
      <c r="H526" s="6" t="s">
        <v>34</v>
      </c>
    </row>
    <row r="527" spans="1:9" x14ac:dyDescent="0.35">
      <c r="A527" s="7">
        <v>46111</v>
      </c>
      <c r="B527" s="5" t="s">
        <v>1</v>
      </c>
      <c r="C527" s="5" t="s">
        <v>73</v>
      </c>
      <c r="D527" s="5" t="s">
        <v>19</v>
      </c>
      <c r="E527" s="5">
        <f t="shared" si="17"/>
        <v>3</v>
      </c>
      <c r="F527" s="5" t="str">
        <f t="shared" si="16"/>
        <v>服子供3実績</v>
      </c>
      <c r="G527" s="6">
        <v>876</v>
      </c>
      <c r="H527" s="6" t="s">
        <v>198</v>
      </c>
    </row>
    <row r="528" spans="1:9" x14ac:dyDescent="0.35">
      <c r="A528" s="7">
        <v>46115</v>
      </c>
      <c r="B528" s="5" t="s">
        <v>3</v>
      </c>
      <c r="C528" s="5" t="s">
        <v>9</v>
      </c>
      <c r="D528" s="5" t="s">
        <v>19</v>
      </c>
      <c r="E528" s="5">
        <f t="shared" si="17"/>
        <v>4</v>
      </c>
      <c r="F528" s="5" t="str">
        <f t="shared" si="16"/>
        <v>生活費外食4実績</v>
      </c>
      <c r="G528" s="6">
        <v>5687</v>
      </c>
      <c r="H528" s="6" t="s">
        <v>199</v>
      </c>
    </row>
    <row r="529" spans="1:8" x14ac:dyDescent="0.35">
      <c r="A529" s="7">
        <v>46115</v>
      </c>
      <c r="B529" s="5" t="s">
        <v>21</v>
      </c>
      <c r="C529" s="5" t="s">
        <v>20</v>
      </c>
      <c r="D529" s="5" t="s">
        <v>19</v>
      </c>
      <c r="E529" s="5">
        <f t="shared" si="17"/>
        <v>4</v>
      </c>
      <c r="F529" s="5" t="str">
        <f t="shared" si="16"/>
        <v>医療費-4実績</v>
      </c>
      <c r="G529" s="6">
        <v>400</v>
      </c>
      <c r="H529" s="6" t="s">
        <v>200</v>
      </c>
    </row>
    <row r="530" spans="1:8" x14ac:dyDescent="0.35">
      <c r="A530" s="7">
        <v>46117</v>
      </c>
      <c r="B530" s="5" t="s">
        <v>3</v>
      </c>
      <c r="C530" s="5" t="s">
        <v>9</v>
      </c>
      <c r="D530" s="5" t="s">
        <v>19</v>
      </c>
      <c r="E530" s="5">
        <f t="shared" si="17"/>
        <v>4</v>
      </c>
      <c r="F530" s="5" t="str">
        <f t="shared" si="16"/>
        <v>生活費外食4実績</v>
      </c>
      <c r="G530" s="6">
        <v>1290</v>
      </c>
      <c r="H530" s="6" t="s">
        <v>201</v>
      </c>
    </row>
    <row r="531" spans="1:8" x14ac:dyDescent="0.35">
      <c r="A531" s="7">
        <v>46117</v>
      </c>
      <c r="B531" s="5" t="s">
        <v>15</v>
      </c>
      <c r="C531" s="5" t="s">
        <v>56</v>
      </c>
      <c r="D531" s="5" t="s">
        <v>19</v>
      </c>
      <c r="E531" s="5">
        <f t="shared" si="17"/>
        <v>4</v>
      </c>
      <c r="F531" s="5" t="str">
        <f t="shared" si="16"/>
        <v>習い事バレエ4実績</v>
      </c>
      <c r="G531" s="6">
        <v>3961</v>
      </c>
      <c r="H531" s="6" t="s">
        <v>202</v>
      </c>
    </row>
    <row r="532" spans="1:8" x14ac:dyDescent="0.35">
      <c r="A532" s="7">
        <v>46118</v>
      </c>
      <c r="B532" s="5" t="s">
        <v>14</v>
      </c>
      <c r="C532" s="5" t="s">
        <v>20</v>
      </c>
      <c r="D532" s="5" t="s">
        <v>19</v>
      </c>
      <c r="E532" s="5">
        <f t="shared" si="17"/>
        <v>4</v>
      </c>
      <c r="F532" s="5" t="str">
        <f t="shared" si="16"/>
        <v>化粧品-4実績</v>
      </c>
      <c r="G532" s="6">
        <v>1760</v>
      </c>
      <c r="H532" s="6" t="s">
        <v>203</v>
      </c>
    </row>
    <row r="533" spans="1:8" x14ac:dyDescent="0.35">
      <c r="A533" s="7">
        <v>46118</v>
      </c>
      <c r="B533" s="5" t="s">
        <v>6</v>
      </c>
      <c r="C533" s="5" t="s">
        <v>8</v>
      </c>
      <c r="D533" s="5" t="s">
        <v>19</v>
      </c>
      <c r="E533" s="5">
        <f t="shared" si="17"/>
        <v>4</v>
      </c>
      <c r="F533" s="5" t="str">
        <f t="shared" si="16"/>
        <v>学費ことは4実績</v>
      </c>
      <c r="G533" s="6">
        <v>9345</v>
      </c>
      <c r="H533" s="6" t="s">
        <v>204</v>
      </c>
    </row>
    <row r="534" spans="1:8" x14ac:dyDescent="0.35">
      <c r="A534" s="7">
        <v>46119</v>
      </c>
      <c r="B534" s="5" t="s">
        <v>14</v>
      </c>
      <c r="C534" s="5" t="s">
        <v>20</v>
      </c>
      <c r="D534" s="5" t="s">
        <v>19</v>
      </c>
      <c r="E534" s="5">
        <f t="shared" si="17"/>
        <v>4</v>
      </c>
      <c r="F534" s="5" t="str">
        <f t="shared" si="16"/>
        <v>化粧品-4実績</v>
      </c>
      <c r="G534" s="6">
        <v>5400</v>
      </c>
      <c r="H534" s="6" t="s">
        <v>205</v>
      </c>
    </row>
    <row r="535" spans="1:8" x14ac:dyDescent="0.35">
      <c r="A535" s="7">
        <v>46120</v>
      </c>
      <c r="B535" s="5" t="s">
        <v>6</v>
      </c>
      <c r="C535" s="5" t="s">
        <v>8</v>
      </c>
      <c r="D535" s="5" t="s">
        <v>19</v>
      </c>
      <c r="E535" s="5">
        <f t="shared" si="17"/>
        <v>4</v>
      </c>
      <c r="F535" s="5" t="str">
        <f t="shared" si="16"/>
        <v>学費ことは4実績</v>
      </c>
      <c r="G535" s="6">
        <v>1419</v>
      </c>
      <c r="H535" s="6" t="s">
        <v>206</v>
      </c>
    </row>
    <row r="536" spans="1:8" x14ac:dyDescent="0.35">
      <c r="A536" s="7">
        <v>46123</v>
      </c>
      <c r="B536" s="5" t="s">
        <v>207</v>
      </c>
      <c r="C536" s="5" t="s">
        <v>2</v>
      </c>
      <c r="D536" s="5" t="s">
        <v>19</v>
      </c>
      <c r="E536" s="5">
        <f t="shared" si="17"/>
        <v>4</v>
      </c>
      <c r="F536" s="5" t="str">
        <f t="shared" si="16"/>
        <v>服りょう4実績</v>
      </c>
      <c r="G536" s="6">
        <v>1290</v>
      </c>
      <c r="H536" s="6" t="s">
        <v>208</v>
      </c>
    </row>
    <row r="537" spans="1:8" x14ac:dyDescent="0.35">
      <c r="A537" s="7">
        <v>46123</v>
      </c>
      <c r="B537" s="5" t="s">
        <v>3</v>
      </c>
      <c r="C537" s="5" t="s">
        <v>9</v>
      </c>
      <c r="D537" s="5" t="s">
        <v>19</v>
      </c>
      <c r="E537" s="5">
        <f t="shared" si="17"/>
        <v>4</v>
      </c>
      <c r="F537" s="5" t="str">
        <f t="shared" si="16"/>
        <v>生活費外食4実績</v>
      </c>
      <c r="G537" s="6">
        <v>2650</v>
      </c>
      <c r="H537" s="6" t="s">
        <v>175</v>
      </c>
    </row>
    <row r="538" spans="1:8" x14ac:dyDescent="0.35">
      <c r="A538" s="7">
        <v>46123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829</v>
      </c>
      <c r="H538" s="6" t="s">
        <v>209</v>
      </c>
    </row>
    <row r="539" spans="1:8" x14ac:dyDescent="0.35">
      <c r="A539" s="7">
        <v>46123</v>
      </c>
      <c r="B539" s="5" t="s">
        <v>1</v>
      </c>
      <c r="C539" s="5" t="s">
        <v>73</v>
      </c>
      <c r="D539" s="5" t="s">
        <v>19</v>
      </c>
      <c r="E539" s="5">
        <f t="shared" si="17"/>
        <v>4</v>
      </c>
      <c r="F539" s="5" t="str">
        <f t="shared" si="16"/>
        <v>服子供4実績</v>
      </c>
      <c r="G539" s="6">
        <v>16479</v>
      </c>
      <c r="H539" s="6"/>
    </row>
    <row r="540" spans="1:8" x14ac:dyDescent="0.35">
      <c r="A540" s="7">
        <v>46123</v>
      </c>
      <c r="B540" s="5" t="s">
        <v>1</v>
      </c>
      <c r="C540" s="5" t="s">
        <v>4</v>
      </c>
      <c r="D540" s="5" t="s">
        <v>19</v>
      </c>
      <c r="E540" s="5">
        <f t="shared" si="17"/>
        <v>4</v>
      </c>
      <c r="F540" s="5" t="str">
        <f t="shared" si="16"/>
        <v>服ゆっこ4実績</v>
      </c>
      <c r="G540" s="6">
        <v>1490</v>
      </c>
      <c r="H540" s="6" t="s">
        <v>210</v>
      </c>
    </row>
    <row r="541" spans="1:8" x14ac:dyDescent="0.35">
      <c r="A541" s="7">
        <v>46124</v>
      </c>
      <c r="B541" s="5" t="s">
        <v>7</v>
      </c>
      <c r="C541" s="5" t="s">
        <v>43</v>
      </c>
      <c r="D541" s="5" t="s">
        <v>19</v>
      </c>
      <c r="E541" s="5">
        <f t="shared" si="17"/>
        <v>4</v>
      </c>
      <c r="F541" s="5" t="str">
        <f t="shared" si="16"/>
        <v>光熱費水道4実績</v>
      </c>
      <c r="G541" s="6">
        <v>14613</v>
      </c>
      <c r="H541" s="6"/>
    </row>
    <row r="542" spans="1:8" x14ac:dyDescent="0.35">
      <c r="A542" s="7">
        <v>46143</v>
      </c>
      <c r="B542" s="5" t="s">
        <v>7</v>
      </c>
      <c r="C542" s="5" t="s">
        <v>40</v>
      </c>
      <c r="D542" s="5" t="s">
        <v>19</v>
      </c>
      <c r="E542" s="5">
        <f t="shared" si="17"/>
        <v>5</v>
      </c>
      <c r="F542" s="5" t="str">
        <f t="shared" si="16"/>
        <v>光熱費電気5実績</v>
      </c>
      <c r="G542" s="6">
        <v>17300</v>
      </c>
      <c r="H542" s="6" t="s">
        <v>211</v>
      </c>
    </row>
    <row r="543" spans="1:8" x14ac:dyDescent="0.35">
      <c r="A543" s="7">
        <v>46124</v>
      </c>
      <c r="B543" s="5" t="s">
        <v>12</v>
      </c>
      <c r="C543" s="5" t="s">
        <v>5</v>
      </c>
      <c r="D543" s="5" t="s">
        <v>19</v>
      </c>
      <c r="E543" s="5">
        <f t="shared" si="17"/>
        <v>4</v>
      </c>
      <c r="F543" s="5" t="str">
        <f t="shared" si="16"/>
        <v>美容室みなと4実績</v>
      </c>
      <c r="G543" s="6">
        <v>1400</v>
      </c>
      <c r="H543" s="6"/>
    </row>
    <row r="544" spans="1:8" x14ac:dyDescent="0.35">
      <c r="A544" s="7">
        <v>46124</v>
      </c>
      <c r="B544" s="5" t="s">
        <v>12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美容室りょう4実績</v>
      </c>
      <c r="G544" s="6">
        <v>1400</v>
      </c>
      <c r="H544" s="6"/>
    </row>
    <row r="545" spans="1:8" x14ac:dyDescent="0.35">
      <c r="A545" s="7">
        <v>46124</v>
      </c>
      <c r="B545" s="5" t="s">
        <v>1</v>
      </c>
      <c r="C545" s="5" t="s">
        <v>73</v>
      </c>
      <c r="D545" s="5" t="s">
        <v>19</v>
      </c>
      <c r="E545" s="5">
        <f t="shared" si="17"/>
        <v>4</v>
      </c>
      <c r="F545" s="5" t="str">
        <f t="shared" si="16"/>
        <v>服子供4実績</v>
      </c>
      <c r="G545" s="6">
        <v>5027</v>
      </c>
      <c r="H545" s="6"/>
    </row>
    <row r="546" spans="1:8" x14ac:dyDescent="0.35">
      <c r="A546" s="7">
        <v>46125</v>
      </c>
      <c r="B546" s="5" t="s">
        <v>6</v>
      </c>
      <c r="C546" s="5" t="s">
        <v>5</v>
      </c>
      <c r="D546" s="5" t="s">
        <v>19</v>
      </c>
      <c r="E546" s="5">
        <f t="shared" si="17"/>
        <v>4</v>
      </c>
      <c r="F546" s="5" t="str">
        <f t="shared" si="16"/>
        <v>学費みなと4実績</v>
      </c>
      <c r="G546" s="6">
        <v>4919</v>
      </c>
      <c r="H546" s="6" t="s">
        <v>212</v>
      </c>
    </row>
    <row r="547" spans="1:8" x14ac:dyDescent="0.35">
      <c r="A547" s="7">
        <v>46125</v>
      </c>
      <c r="B547" s="5" t="s">
        <v>69</v>
      </c>
      <c r="C547" s="5" t="s">
        <v>9</v>
      </c>
      <c r="D547" s="5" t="s">
        <v>19</v>
      </c>
      <c r="E547" s="5">
        <f t="shared" si="17"/>
        <v>4</v>
      </c>
      <c r="F547" s="5" t="str">
        <f t="shared" si="16"/>
        <v>祝い事外食4実績</v>
      </c>
      <c r="G547" s="6">
        <v>1880</v>
      </c>
      <c r="H547" s="6" t="s">
        <v>213</v>
      </c>
    </row>
    <row r="548" spans="1:8" x14ac:dyDescent="0.35">
      <c r="A548" s="7">
        <v>46128</v>
      </c>
      <c r="B548" s="5" t="s">
        <v>14</v>
      </c>
      <c r="C548" s="5" t="s">
        <v>20</v>
      </c>
      <c r="D548" s="5" t="s">
        <v>19</v>
      </c>
      <c r="E548" s="5">
        <f t="shared" si="17"/>
        <v>4</v>
      </c>
      <c r="F548" s="5" t="str">
        <f t="shared" si="16"/>
        <v>化粧品-4実績</v>
      </c>
      <c r="G548" s="6">
        <v>2090</v>
      </c>
      <c r="H548" s="6" t="s">
        <v>214</v>
      </c>
    </row>
    <row r="549" spans="1:8" x14ac:dyDescent="0.35">
      <c r="A549" s="7">
        <v>46128</v>
      </c>
      <c r="B549" s="5" t="s">
        <v>14</v>
      </c>
      <c r="C549" s="5" t="s">
        <v>20</v>
      </c>
      <c r="D549" s="5" t="s">
        <v>19</v>
      </c>
      <c r="E549" s="5">
        <f t="shared" si="17"/>
        <v>4</v>
      </c>
      <c r="F549" s="5" t="str">
        <f t="shared" si="16"/>
        <v>化粧品-4実績</v>
      </c>
      <c r="G549" s="6">
        <v>1045</v>
      </c>
      <c r="H549" s="6" t="s">
        <v>215</v>
      </c>
    </row>
    <row r="550" spans="1:8" x14ac:dyDescent="0.35">
      <c r="A550" s="7">
        <v>46130</v>
      </c>
      <c r="B550" s="5" t="s">
        <v>21</v>
      </c>
      <c r="C550" s="5" t="s">
        <v>20</v>
      </c>
      <c r="D550" s="5" t="s">
        <v>19</v>
      </c>
      <c r="E550" s="5">
        <f t="shared" si="17"/>
        <v>4</v>
      </c>
      <c r="F550" s="5" t="str">
        <f t="shared" si="16"/>
        <v>医療費-4実績</v>
      </c>
      <c r="G550" s="6">
        <v>4180</v>
      </c>
      <c r="H550" s="6" t="s">
        <v>216</v>
      </c>
    </row>
    <row r="551" spans="1:8" x14ac:dyDescent="0.35">
      <c r="A551" s="7">
        <v>46130</v>
      </c>
      <c r="B551" s="5" t="s">
        <v>217</v>
      </c>
      <c r="C551" s="5" t="s">
        <v>85</v>
      </c>
      <c r="D551" s="5" t="s">
        <v>19</v>
      </c>
      <c r="E551" s="5">
        <f t="shared" si="17"/>
        <v>4</v>
      </c>
      <c r="F551" s="5" t="str">
        <f t="shared" si="16"/>
        <v>その他予備費4実績</v>
      </c>
      <c r="G551" s="6">
        <v>3620</v>
      </c>
      <c r="H551" s="6" t="s">
        <v>218</v>
      </c>
    </row>
    <row r="552" spans="1:8" x14ac:dyDescent="0.35">
      <c r="A552" s="7">
        <v>46131</v>
      </c>
      <c r="B552" s="5" t="s">
        <v>11</v>
      </c>
      <c r="C552" s="5" t="s">
        <v>80</v>
      </c>
      <c r="D552" s="5" t="s">
        <v>19</v>
      </c>
      <c r="E552" s="5">
        <f t="shared" si="17"/>
        <v>4</v>
      </c>
      <c r="F552" s="5" t="str">
        <f t="shared" si="16"/>
        <v>その他クリーニング4実績</v>
      </c>
      <c r="G552" s="6">
        <v>9024</v>
      </c>
      <c r="H552" s="6"/>
    </row>
    <row r="553" spans="1:8" x14ac:dyDescent="0.35">
      <c r="A553" s="7">
        <v>46131</v>
      </c>
      <c r="B553" s="5" t="s">
        <v>1</v>
      </c>
      <c r="C553" s="5" t="s">
        <v>4</v>
      </c>
      <c r="D553" s="5" t="s">
        <v>19</v>
      </c>
      <c r="E553" s="5">
        <f t="shared" si="17"/>
        <v>4</v>
      </c>
      <c r="F553" s="5" t="str">
        <f t="shared" si="16"/>
        <v>服ゆっこ4実績</v>
      </c>
      <c r="G553" s="6">
        <v>2480</v>
      </c>
      <c r="H553" s="6" t="s">
        <v>219</v>
      </c>
    </row>
    <row r="554" spans="1:8" x14ac:dyDescent="0.35">
      <c r="A554" s="7">
        <v>46131</v>
      </c>
      <c r="B554" s="5" t="s">
        <v>1</v>
      </c>
      <c r="C554" s="5" t="s">
        <v>4</v>
      </c>
      <c r="D554" s="5" t="s">
        <v>19</v>
      </c>
      <c r="E554" s="5">
        <f t="shared" si="17"/>
        <v>4</v>
      </c>
      <c r="F554" s="5" t="str">
        <f t="shared" si="16"/>
        <v>服ゆっこ4実績</v>
      </c>
      <c r="G554" s="6">
        <v>1078</v>
      </c>
      <c r="H554" s="6" t="s">
        <v>220</v>
      </c>
    </row>
    <row r="555" spans="1:8" x14ac:dyDescent="0.35">
      <c r="A555" s="7">
        <v>46131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19701</v>
      </c>
      <c r="H555" s="6" t="s">
        <v>221</v>
      </c>
    </row>
    <row r="556" spans="1:8" x14ac:dyDescent="0.35">
      <c r="A556" s="7">
        <v>46131</v>
      </c>
      <c r="B556" s="5" t="s">
        <v>3</v>
      </c>
      <c r="C556" s="5" t="s">
        <v>9</v>
      </c>
      <c r="D556" s="5" t="s">
        <v>19</v>
      </c>
      <c r="E556" s="5">
        <f t="shared" si="17"/>
        <v>4</v>
      </c>
      <c r="F556" s="5" t="str">
        <f t="shared" si="16"/>
        <v>生活費外食4実績</v>
      </c>
      <c r="G556" s="6">
        <v>1199</v>
      </c>
      <c r="H556" s="6" t="s">
        <v>109</v>
      </c>
    </row>
    <row r="557" spans="1:8" x14ac:dyDescent="0.35">
      <c r="A557" s="7">
        <v>46133</v>
      </c>
      <c r="B557" s="5" t="s">
        <v>1</v>
      </c>
      <c r="C557" s="5" t="s">
        <v>73</v>
      </c>
      <c r="D557" s="5" t="s">
        <v>19</v>
      </c>
      <c r="E557" s="5">
        <f t="shared" si="17"/>
        <v>4</v>
      </c>
      <c r="F557" s="5" t="str">
        <f t="shared" si="16"/>
        <v>服子供4実績</v>
      </c>
      <c r="G557" s="6">
        <v>888</v>
      </c>
      <c r="H557" s="6" t="s">
        <v>198</v>
      </c>
    </row>
    <row r="558" spans="1:8" x14ac:dyDescent="0.35">
      <c r="A558" s="7">
        <v>46135</v>
      </c>
      <c r="B558" s="5" t="s">
        <v>0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家賃-4実績</v>
      </c>
      <c r="G558" s="6">
        <v>120829</v>
      </c>
      <c r="H558" s="6"/>
    </row>
    <row r="559" spans="1:8" x14ac:dyDescent="0.35">
      <c r="A559" s="7">
        <v>46135</v>
      </c>
      <c r="B559" s="5" t="s">
        <v>3</v>
      </c>
      <c r="C559" s="5" t="s">
        <v>20</v>
      </c>
      <c r="D559" s="5" t="s">
        <v>19</v>
      </c>
      <c r="E559" s="5">
        <f t="shared" si="17"/>
        <v>4</v>
      </c>
      <c r="F559" s="5" t="str">
        <f t="shared" si="16"/>
        <v>生活費-4実績</v>
      </c>
      <c r="G559" s="6">
        <v>118200</v>
      </c>
      <c r="H559" s="6" t="s">
        <v>192</v>
      </c>
    </row>
    <row r="560" spans="1:8" x14ac:dyDescent="0.35">
      <c r="A560" s="7">
        <v>46135</v>
      </c>
      <c r="B560" s="5" t="s">
        <v>7</v>
      </c>
      <c r="C560" s="5" t="s">
        <v>10</v>
      </c>
      <c r="D560" s="5" t="s">
        <v>19</v>
      </c>
      <c r="E560" s="5">
        <f t="shared" si="17"/>
        <v>4</v>
      </c>
      <c r="F560" s="5" t="str">
        <f t="shared" si="16"/>
        <v>光熱費ガス4実績</v>
      </c>
      <c r="G560" s="6">
        <v>8684</v>
      </c>
      <c r="H560" s="6"/>
    </row>
    <row r="561" spans="1:8" x14ac:dyDescent="0.35">
      <c r="A561" s="7">
        <v>46135</v>
      </c>
      <c r="B561" s="5" t="s">
        <v>13</v>
      </c>
      <c r="C561" s="5" t="s">
        <v>45</v>
      </c>
      <c r="D561" s="5" t="s">
        <v>19</v>
      </c>
      <c r="E561" s="5">
        <f t="shared" si="17"/>
        <v>4</v>
      </c>
      <c r="F561" s="5" t="str">
        <f t="shared" si="16"/>
        <v>通信料GPS4実績</v>
      </c>
      <c r="G561" s="6">
        <v>0</v>
      </c>
      <c r="H561" s="6"/>
    </row>
    <row r="562" spans="1:8" x14ac:dyDescent="0.35">
      <c r="A562" s="7">
        <v>46135</v>
      </c>
      <c r="B562" s="5" t="s">
        <v>13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通信料ゆっこ4実績</v>
      </c>
      <c r="G562" s="6">
        <v>2480</v>
      </c>
      <c r="H562" s="6"/>
    </row>
    <row r="563" spans="1:8" x14ac:dyDescent="0.35">
      <c r="A563" s="7">
        <v>46135</v>
      </c>
      <c r="B563" s="5" t="s">
        <v>13</v>
      </c>
      <c r="C563" s="5" t="s">
        <v>2</v>
      </c>
      <c r="D563" s="5" t="s">
        <v>19</v>
      </c>
      <c r="E563" s="5">
        <f t="shared" si="17"/>
        <v>4</v>
      </c>
      <c r="F563" s="5" t="str">
        <f t="shared" si="16"/>
        <v>通信料りょう4実績</v>
      </c>
      <c r="G563" s="6">
        <v>2931</v>
      </c>
      <c r="H563" s="6"/>
    </row>
    <row r="564" spans="1:8" x14ac:dyDescent="0.35">
      <c r="A564" s="7">
        <v>46135</v>
      </c>
      <c r="B564" s="5" t="s">
        <v>47</v>
      </c>
      <c r="C564" s="5" t="s">
        <v>49</v>
      </c>
      <c r="D564" s="5" t="s">
        <v>19</v>
      </c>
      <c r="E564" s="5">
        <f t="shared" si="17"/>
        <v>4</v>
      </c>
      <c r="F564" s="5" t="str">
        <f t="shared" si="16"/>
        <v>サブスクiCloud4実績</v>
      </c>
      <c r="G564" s="6">
        <v>450</v>
      </c>
      <c r="H564" s="6"/>
    </row>
    <row r="565" spans="1:8" x14ac:dyDescent="0.35">
      <c r="A565" s="7">
        <v>46135</v>
      </c>
      <c r="B565" s="5" t="s">
        <v>15</v>
      </c>
      <c r="C565" s="5" t="s">
        <v>55</v>
      </c>
      <c r="D565" s="5" t="s">
        <v>19</v>
      </c>
      <c r="E565" s="5">
        <f t="shared" si="17"/>
        <v>4</v>
      </c>
      <c r="F565" s="5" t="str">
        <f t="shared" si="16"/>
        <v>習い事バレエ4実績</v>
      </c>
      <c r="G565" s="6">
        <v>9020</v>
      </c>
      <c r="H565" s="6"/>
    </row>
    <row r="566" spans="1:8" x14ac:dyDescent="0.35">
      <c r="A566" s="7">
        <v>46135</v>
      </c>
      <c r="B566" s="5" t="s">
        <v>15</v>
      </c>
      <c r="C566" s="5" t="s">
        <v>57</v>
      </c>
      <c r="D566" s="5" t="s">
        <v>19</v>
      </c>
      <c r="E566" s="5">
        <f t="shared" si="17"/>
        <v>4</v>
      </c>
      <c r="F566" s="5" t="str">
        <f t="shared" si="16"/>
        <v>習い事英会話4実績</v>
      </c>
      <c r="G566" s="6">
        <v>2980</v>
      </c>
      <c r="H566" s="6"/>
    </row>
    <row r="567" spans="1:8" x14ac:dyDescent="0.35">
      <c r="A567" s="7">
        <v>46135</v>
      </c>
      <c r="B567" s="5" t="s">
        <v>15</v>
      </c>
      <c r="C567" s="5" t="s">
        <v>54</v>
      </c>
      <c r="D567" s="5" t="s">
        <v>19</v>
      </c>
      <c r="E567" s="5">
        <f t="shared" si="17"/>
        <v>4</v>
      </c>
      <c r="F567" s="5" t="str">
        <f t="shared" si="16"/>
        <v>習い事公文4実績</v>
      </c>
      <c r="G567" s="6">
        <v>14960</v>
      </c>
      <c r="H567" s="6"/>
    </row>
    <row r="568" spans="1:8" x14ac:dyDescent="0.35">
      <c r="A568" s="7">
        <v>46135</v>
      </c>
      <c r="B568" s="5" t="s">
        <v>16</v>
      </c>
      <c r="C568" s="5" t="s">
        <v>61</v>
      </c>
      <c r="D568" s="5" t="s">
        <v>19</v>
      </c>
      <c r="E568" s="5">
        <f t="shared" si="17"/>
        <v>4</v>
      </c>
      <c r="F568" s="5" t="str">
        <f t="shared" si="16"/>
        <v>保険ゆっこ医療4実績</v>
      </c>
      <c r="G568" s="6">
        <v>2924</v>
      </c>
      <c r="H568" s="6"/>
    </row>
    <row r="569" spans="1:8" x14ac:dyDescent="0.35">
      <c r="A569" s="7">
        <v>46135</v>
      </c>
      <c r="B569" s="5" t="s">
        <v>16</v>
      </c>
      <c r="C569" s="5" t="s">
        <v>59</v>
      </c>
      <c r="D569" s="5" t="s">
        <v>19</v>
      </c>
      <c r="E569" s="5">
        <f t="shared" si="17"/>
        <v>4</v>
      </c>
      <c r="F569" s="5" t="str">
        <f t="shared" si="16"/>
        <v>保険りょう死亡4実績</v>
      </c>
      <c r="G569" s="6">
        <v>1780</v>
      </c>
      <c r="H569" s="6"/>
    </row>
    <row r="570" spans="1:8" x14ac:dyDescent="0.35">
      <c r="A570" s="7">
        <v>46135</v>
      </c>
      <c r="B570" s="5" t="s">
        <v>16</v>
      </c>
      <c r="C570" s="5" t="s">
        <v>60</v>
      </c>
      <c r="D570" s="5" t="s">
        <v>19</v>
      </c>
      <c r="E570" s="5">
        <f t="shared" si="17"/>
        <v>4</v>
      </c>
      <c r="F570" s="5" t="str">
        <f t="shared" si="16"/>
        <v>保険りょう医療4実績</v>
      </c>
      <c r="G570" s="6">
        <v>2572</v>
      </c>
      <c r="H570" s="6"/>
    </row>
    <row r="571" spans="1:8" x14ac:dyDescent="0.35">
      <c r="A571" s="7">
        <v>46135</v>
      </c>
      <c r="B571" s="5" t="s">
        <v>87</v>
      </c>
      <c r="C571" s="5" t="s">
        <v>31</v>
      </c>
      <c r="D571" s="5" t="s">
        <v>19</v>
      </c>
      <c r="E571" s="5">
        <f t="shared" si="17"/>
        <v>4</v>
      </c>
      <c r="F571" s="5" t="str">
        <f>B571&amp;C571&amp;E571&amp;D571</f>
        <v>こずかいゆっこ4実績</v>
      </c>
      <c r="G571" s="6">
        <v>25000</v>
      </c>
      <c r="H571" s="6"/>
    </row>
    <row r="572" spans="1:8" x14ac:dyDescent="0.35">
      <c r="A572" s="7">
        <v>46135</v>
      </c>
      <c r="B572" s="5" t="s">
        <v>87</v>
      </c>
      <c r="C572" s="5" t="s">
        <v>2</v>
      </c>
      <c r="D572" s="5" t="s">
        <v>19</v>
      </c>
      <c r="E572" s="5">
        <f t="shared" si="17"/>
        <v>4</v>
      </c>
      <c r="F572" s="5" t="str">
        <f t="shared" ref="F572:F573" si="18">B572&amp;C572&amp;E572&amp;D572</f>
        <v>こずかいりょう4実績</v>
      </c>
      <c r="G572" s="6">
        <v>25000</v>
      </c>
      <c r="H572" s="6"/>
    </row>
    <row r="573" spans="1:8" x14ac:dyDescent="0.35">
      <c r="A573" s="7">
        <v>46135</v>
      </c>
      <c r="B573" s="5" t="s">
        <v>17</v>
      </c>
      <c r="C573" s="5" t="s">
        <v>20</v>
      </c>
      <c r="D573" s="5" t="s">
        <v>19</v>
      </c>
      <c r="E573" s="5">
        <f t="shared" si="17"/>
        <v>4</v>
      </c>
      <c r="F573" s="5" t="str">
        <f t="shared" si="18"/>
        <v>奨学金-4実績</v>
      </c>
      <c r="G573" s="6">
        <v>10125</v>
      </c>
      <c r="H573" s="6"/>
    </row>
    <row r="574" spans="1:8" x14ac:dyDescent="0.35">
      <c r="A574" s="7">
        <v>46141</v>
      </c>
      <c r="B574" s="5" t="s">
        <v>11</v>
      </c>
      <c r="C574" s="5" t="s">
        <v>80</v>
      </c>
      <c r="D574" s="5" t="s">
        <v>19</v>
      </c>
      <c r="E574" s="5">
        <f t="shared" si="17"/>
        <v>4</v>
      </c>
      <c r="F574" s="5" t="str">
        <f t="shared" si="16"/>
        <v>その他クリーニング4実績</v>
      </c>
      <c r="G574" s="6">
        <v>5500</v>
      </c>
      <c r="H574" s="6"/>
    </row>
    <row r="575" spans="1:8" x14ac:dyDescent="0.35">
      <c r="A575" s="7">
        <v>46135</v>
      </c>
      <c r="B575" s="5" t="s">
        <v>1</v>
      </c>
      <c r="C575" s="5" t="s">
        <v>73</v>
      </c>
      <c r="D575" s="5" t="s">
        <v>19</v>
      </c>
      <c r="E575" s="5">
        <f t="shared" si="17"/>
        <v>4</v>
      </c>
      <c r="F575" s="5" t="str">
        <f t="shared" si="16"/>
        <v>服子供4実績</v>
      </c>
      <c r="G575" s="6">
        <v>2598</v>
      </c>
      <c r="H575" s="6" t="s">
        <v>222</v>
      </c>
    </row>
    <row r="576" spans="1:8" x14ac:dyDescent="0.35">
      <c r="A576" s="7">
        <v>46137</v>
      </c>
      <c r="B576" s="5" t="s">
        <v>3</v>
      </c>
      <c r="C576" s="5" t="s">
        <v>9</v>
      </c>
      <c r="D576" s="5" t="s">
        <v>19</v>
      </c>
      <c r="E576" s="5">
        <f t="shared" si="17"/>
        <v>4</v>
      </c>
      <c r="F576" s="5" t="str">
        <f t="shared" si="16"/>
        <v>生活費外食4実績</v>
      </c>
      <c r="G576" s="6">
        <v>2950</v>
      </c>
      <c r="H576" s="6" t="s">
        <v>108</v>
      </c>
    </row>
    <row r="577" spans="1:8" x14ac:dyDescent="0.35">
      <c r="A577" s="7">
        <v>46137</v>
      </c>
      <c r="B577" s="5" t="s">
        <v>1</v>
      </c>
      <c r="C577" s="5" t="s">
        <v>2</v>
      </c>
      <c r="D577" s="5" t="s">
        <v>19</v>
      </c>
      <c r="E577" s="5">
        <f t="shared" si="17"/>
        <v>4</v>
      </c>
      <c r="F577" s="5" t="str">
        <f t="shared" ref="F577:F651" si="19">B577&amp;C577&amp;E577&amp;D577</f>
        <v>服りょう4実績</v>
      </c>
      <c r="G577" s="6">
        <v>1290</v>
      </c>
      <c r="H577" s="6" t="s">
        <v>223</v>
      </c>
    </row>
    <row r="578" spans="1:8" x14ac:dyDescent="0.35">
      <c r="A578" s="7">
        <v>46137</v>
      </c>
      <c r="B578" s="5" t="s">
        <v>29</v>
      </c>
      <c r="C578" s="5" t="s">
        <v>20</v>
      </c>
      <c r="D578" s="5" t="s">
        <v>19</v>
      </c>
      <c r="E578" s="5">
        <f t="shared" si="17"/>
        <v>4</v>
      </c>
      <c r="F578" s="5" t="str">
        <f t="shared" si="19"/>
        <v>ふるさと納税-4実績</v>
      </c>
      <c r="G578" s="6">
        <v>16000</v>
      </c>
      <c r="H578" s="6" t="s">
        <v>224</v>
      </c>
    </row>
    <row r="579" spans="1:8" x14ac:dyDescent="0.35">
      <c r="A579" s="7">
        <v>46140</v>
      </c>
      <c r="B579" s="5" t="s">
        <v>21</v>
      </c>
      <c r="C579" s="5" t="s">
        <v>20</v>
      </c>
      <c r="D579" s="5" t="s">
        <v>19</v>
      </c>
      <c r="E579" s="5">
        <f t="shared" si="17"/>
        <v>4</v>
      </c>
      <c r="F579" s="5" t="str">
        <f t="shared" si="19"/>
        <v>医療費-4実績</v>
      </c>
      <c r="G579" s="6">
        <v>200</v>
      </c>
      <c r="H579" s="6" t="s">
        <v>225</v>
      </c>
    </row>
    <row r="580" spans="1:8" x14ac:dyDescent="0.35">
      <c r="A580" s="7">
        <v>46142</v>
      </c>
      <c r="B580" s="5" t="s">
        <v>21</v>
      </c>
      <c r="C580" s="5" t="s">
        <v>20</v>
      </c>
      <c r="D580" s="5" t="s">
        <v>19</v>
      </c>
      <c r="E580" s="5">
        <f t="shared" si="17"/>
        <v>4</v>
      </c>
      <c r="F580" s="5" t="str">
        <f t="shared" si="19"/>
        <v>医療費-4実績</v>
      </c>
      <c r="G580" s="6">
        <v>3300</v>
      </c>
      <c r="H580" s="6" t="s">
        <v>226</v>
      </c>
    </row>
    <row r="581" spans="1:8" x14ac:dyDescent="0.35">
      <c r="A581" s="7">
        <v>46142</v>
      </c>
      <c r="B581" s="5" t="s">
        <v>11</v>
      </c>
      <c r="C581" s="5" t="s">
        <v>85</v>
      </c>
      <c r="D581" s="5" t="s">
        <v>19</v>
      </c>
      <c r="E581" s="5">
        <f t="shared" si="17"/>
        <v>4</v>
      </c>
      <c r="F581" s="5" t="str">
        <f t="shared" si="19"/>
        <v>その他予備費4実績</v>
      </c>
      <c r="G581" s="6">
        <v>1683</v>
      </c>
      <c r="H581" s="6"/>
    </row>
    <row r="582" spans="1:8" x14ac:dyDescent="0.35">
      <c r="A582" s="7">
        <v>46142</v>
      </c>
      <c r="B582" s="5" t="s">
        <v>14</v>
      </c>
      <c r="C582" s="5" t="s">
        <v>20</v>
      </c>
      <c r="D582" s="5" t="s">
        <v>19</v>
      </c>
      <c r="E582" s="5">
        <f t="shared" si="17"/>
        <v>4</v>
      </c>
      <c r="F582" s="5" t="str">
        <f t="shared" si="19"/>
        <v>化粧品-4実績</v>
      </c>
      <c r="G582" s="6">
        <v>1100</v>
      </c>
      <c r="H582" s="6" t="s">
        <v>227</v>
      </c>
    </row>
    <row r="583" spans="1:8" x14ac:dyDescent="0.35">
      <c r="A583" s="7">
        <v>46143</v>
      </c>
      <c r="B583" s="5" t="s">
        <v>6</v>
      </c>
      <c r="C583" s="5" t="s">
        <v>5</v>
      </c>
      <c r="D583" s="5" t="s">
        <v>19</v>
      </c>
      <c r="E583" s="5">
        <f t="shared" si="17"/>
        <v>5</v>
      </c>
      <c r="F583" s="5" t="str">
        <f t="shared" si="19"/>
        <v>学費みなと5実績</v>
      </c>
      <c r="G583" s="6">
        <v>5150</v>
      </c>
      <c r="H583" s="6" t="s">
        <v>228</v>
      </c>
    </row>
    <row r="584" spans="1:8" x14ac:dyDescent="0.35">
      <c r="A584" s="7">
        <v>46143</v>
      </c>
      <c r="B584" s="5" t="s">
        <v>21</v>
      </c>
      <c r="C584" s="5" t="s">
        <v>20</v>
      </c>
      <c r="D584" s="5" t="s">
        <v>19</v>
      </c>
      <c r="E584" s="5">
        <f t="shared" si="17"/>
        <v>5</v>
      </c>
      <c r="F584" s="5" t="str">
        <f t="shared" si="19"/>
        <v>医療費-5実績</v>
      </c>
      <c r="G584" s="6">
        <v>200</v>
      </c>
      <c r="H584" s="6" t="s">
        <v>111</v>
      </c>
    </row>
    <row r="585" spans="1:8" x14ac:dyDescent="0.35">
      <c r="A585" s="7">
        <v>46144</v>
      </c>
      <c r="B585" s="5" t="s">
        <v>90</v>
      </c>
      <c r="C585" s="5" t="s">
        <v>11</v>
      </c>
      <c r="D585" s="5" t="s">
        <v>19</v>
      </c>
      <c r="E585" s="5">
        <f t="shared" si="17"/>
        <v>5</v>
      </c>
      <c r="F585" s="5" t="str">
        <f t="shared" si="19"/>
        <v>娯楽費その他5実績</v>
      </c>
      <c r="G585" s="6">
        <v>7600</v>
      </c>
      <c r="H585" s="6" t="s">
        <v>229</v>
      </c>
    </row>
    <row r="586" spans="1:8" x14ac:dyDescent="0.35">
      <c r="A586" s="7">
        <v>46143</v>
      </c>
      <c r="B586" s="5" t="s">
        <v>11</v>
      </c>
      <c r="C586" s="5" t="s">
        <v>78</v>
      </c>
      <c r="D586" s="5" t="s">
        <v>19</v>
      </c>
      <c r="E586" s="5">
        <f t="shared" ref="E586:E649" si="20">MONTH(A586)</f>
        <v>5</v>
      </c>
      <c r="F586" s="5" t="str">
        <f t="shared" si="19"/>
        <v>その他固定資産税5実績</v>
      </c>
      <c r="G586" s="6">
        <v>106200</v>
      </c>
      <c r="H586" s="6"/>
    </row>
    <row r="587" spans="1:8" x14ac:dyDescent="0.35">
      <c r="A587" s="7">
        <v>46145</v>
      </c>
      <c r="B587" s="5" t="s">
        <v>3</v>
      </c>
      <c r="C587" s="5" t="s">
        <v>9</v>
      </c>
      <c r="D587" s="5" t="s">
        <v>19</v>
      </c>
      <c r="E587" s="5">
        <f t="shared" si="20"/>
        <v>5</v>
      </c>
      <c r="F587" s="5" t="str">
        <f t="shared" si="19"/>
        <v>生活費外食5実績</v>
      </c>
      <c r="G587" s="6">
        <v>4000</v>
      </c>
      <c r="H587" s="6" t="s">
        <v>167</v>
      </c>
    </row>
    <row r="588" spans="1:8" x14ac:dyDescent="0.35">
      <c r="A588" s="7">
        <v>46145</v>
      </c>
      <c r="B588" s="5" t="s">
        <v>6</v>
      </c>
      <c r="C588" s="5" t="s">
        <v>8</v>
      </c>
      <c r="D588" s="5" t="s">
        <v>19</v>
      </c>
      <c r="E588" s="5">
        <f t="shared" si="20"/>
        <v>5</v>
      </c>
      <c r="F588" s="5" t="str">
        <f t="shared" si="19"/>
        <v>学費ことは5実績</v>
      </c>
      <c r="G588" s="6">
        <v>1100</v>
      </c>
      <c r="H588" s="6" t="s">
        <v>230</v>
      </c>
    </row>
    <row r="589" spans="1:8" x14ac:dyDescent="0.35">
      <c r="A589" s="7">
        <v>46173</v>
      </c>
      <c r="B589" s="5" t="s">
        <v>0</v>
      </c>
      <c r="C589" s="5" t="s">
        <v>20</v>
      </c>
      <c r="D589" s="5" t="s">
        <v>19</v>
      </c>
      <c r="E589" s="5">
        <f t="shared" si="20"/>
        <v>5</v>
      </c>
      <c r="F589" s="5" t="str">
        <f t="shared" si="19"/>
        <v>家賃-5実績</v>
      </c>
      <c r="G589" s="6">
        <v>120829</v>
      </c>
      <c r="H589" s="6"/>
    </row>
    <row r="590" spans="1:8" x14ac:dyDescent="0.35">
      <c r="A590" s="7">
        <v>46173</v>
      </c>
      <c r="B590" s="5" t="s">
        <v>3</v>
      </c>
      <c r="C590" s="5" t="s">
        <v>20</v>
      </c>
      <c r="D590" s="5" t="s">
        <v>19</v>
      </c>
      <c r="E590" s="5">
        <f t="shared" si="20"/>
        <v>5</v>
      </c>
      <c r="F590" s="5" t="str">
        <f t="shared" si="19"/>
        <v>生活費-5実績</v>
      </c>
      <c r="G590" s="10">
        <v>125000</v>
      </c>
      <c r="H590" s="6" t="s">
        <v>192</v>
      </c>
    </row>
    <row r="591" spans="1:8" x14ac:dyDescent="0.35">
      <c r="A591" s="7">
        <v>46173</v>
      </c>
      <c r="B591" s="5" t="s">
        <v>3</v>
      </c>
      <c r="C591" s="5" t="s">
        <v>9</v>
      </c>
      <c r="D591" s="5" t="s">
        <v>19</v>
      </c>
      <c r="E591" s="5">
        <f t="shared" si="20"/>
        <v>5</v>
      </c>
      <c r="F591" s="5" t="str">
        <f t="shared" si="19"/>
        <v>生活費外食5実績</v>
      </c>
      <c r="G591" s="10">
        <v>0</v>
      </c>
      <c r="H591" s="6" t="s">
        <v>192</v>
      </c>
    </row>
    <row r="592" spans="1:8" x14ac:dyDescent="0.35">
      <c r="A592" s="7">
        <v>46173</v>
      </c>
      <c r="B592" s="5" t="s">
        <v>7</v>
      </c>
      <c r="C592" s="5" t="s">
        <v>10</v>
      </c>
      <c r="D592" s="5" t="s">
        <v>19</v>
      </c>
      <c r="E592" s="5">
        <f t="shared" si="20"/>
        <v>5</v>
      </c>
      <c r="F592" s="5" t="str">
        <f t="shared" si="19"/>
        <v>光熱費ガス5実績</v>
      </c>
      <c r="G592" s="10">
        <v>8000</v>
      </c>
      <c r="H592" s="6" t="s">
        <v>192</v>
      </c>
    </row>
    <row r="593" spans="1:8" x14ac:dyDescent="0.35">
      <c r="A593" s="7">
        <v>46173</v>
      </c>
      <c r="B593" s="5" t="s">
        <v>13</v>
      </c>
      <c r="C593" s="5" t="s">
        <v>45</v>
      </c>
      <c r="D593" s="5" t="s">
        <v>19</v>
      </c>
      <c r="E593" s="5">
        <f t="shared" si="20"/>
        <v>5</v>
      </c>
      <c r="F593" s="5" t="str">
        <f t="shared" si="19"/>
        <v>通信料GPS5実績</v>
      </c>
      <c r="G593" s="6">
        <v>0</v>
      </c>
      <c r="H593" s="6"/>
    </row>
    <row r="594" spans="1:8" x14ac:dyDescent="0.35">
      <c r="A594" s="7">
        <v>46173</v>
      </c>
      <c r="B594" s="5" t="s">
        <v>13</v>
      </c>
      <c r="C594" s="5" t="s">
        <v>4</v>
      </c>
      <c r="D594" s="5" t="s">
        <v>19</v>
      </c>
      <c r="E594" s="5">
        <f t="shared" si="20"/>
        <v>5</v>
      </c>
      <c r="F594" s="5" t="str">
        <f t="shared" si="19"/>
        <v>通信料ゆっこ5実績</v>
      </c>
      <c r="G594" s="10">
        <v>3000</v>
      </c>
      <c r="H594" s="6" t="s">
        <v>192</v>
      </c>
    </row>
    <row r="595" spans="1:8" x14ac:dyDescent="0.35">
      <c r="A595" s="7">
        <v>46173</v>
      </c>
      <c r="B595" s="5" t="s">
        <v>13</v>
      </c>
      <c r="C595" s="5" t="s">
        <v>2</v>
      </c>
      <c r="D595" s="5" t="s">
        <v>19</v>
      </c>
      <c r="E595" s="5">
        <f t="shared" si="20"/>
        <v>5</v>
      </c>
      <c r="F595" s="5" t="str">
        <f t="shared" si="19"/>
        <v>通信料りょう5実績</v>
      </c>
      <c r="G595" s="10">
        <v>3000</v>
      </c>
      <c r="H595" s="6" t="s">
        <v>192</v>
      </c>
    </row>
    <row r="596" spans="1:8" x14ac:dyDescent="0.35">
      <c r="A596" s="7">
        <v>46173</v>
      </c>
      <c r="B596" s="5" t="s">
        <v>47</v>
      </c>
      <c r="C596" s="5" t="s">
        <v>49</v>
      </c>
      <c r="D596" s="5" t="s">
        <v>19</v>
      </c>
      <c r="E596" s="5">
        <f t="shared" si="20"/>
        <v>5</v>
      </c>
      <c r="F596" s="5" t="str">
        <f t="shared" si="19"/>
        <v>サブスクiCloud5実績</v>
      </c>
      <c r="G596" s="6">
        <v>450</v>
      </c>
      <c r="H596" s="6"/>
    </row>
    <row r="597" spans="1:8" x14ac:dyDescent="0.35">
      <c r="A597" s="7">
        <v>46173</v>
      </c>
      <c r="B597" s="5" t="s">
        <v>15</v>
      </c>
      <c r="C597" s="5" t="s">
        <v>55</v>
      </c>
      <c r="D597" s="5" t="s">
        <v>19</v>
      </c>
      <c r="E597" s="5">
        <f t="shared" si="20"/>
        <v>5</v>
      </c>
      <c r="F597" s="5" t="str">
        <f t="shared" si="19"/>
        <v>習い事バレエ5実績</v>
      </c>
      <c r="G597" s="6">
        <v>9020</v>
      </c>
      <c r="H597" s="6"/>
    </row>
    <row r="598" spans="1:8" x14ac:dyDescent="0.35">
      <c r="A598" s="7">
        <v>46173</v>
      </c>
      <c r="B598" s="5" t="s">
        <v>15</v>
      </c>
      <c r="C598" s="5" t="s">
        <v>57</v>
      </c>
      <c r="D598" s="5" t="s">
        <v>19</v>
      </c>
      <c r="E598" s="5">
        <f t="shared" si="20"/>
        <v>5</v>
      </c>
      <c r="F598" s="5" t="str">
        <f t="shared" si="19"/>
        <v>習い事英会話5実績</v>
      </c>
      <c r="G598" s="10">
        <v>2980</v>
      </c>
      <c r="H598" s="6" t="s">
        <v>192</v>
      </c>
    </row>
    <row r="599" spans="1:8" x14ac:dyDescent="0.35">
      <c r="A599" s="7">
        <v>46173</v>
      </c>
      <c r="B599" s="5" t="s">
        <v>15</v>
      </c>
      <c r="C599" s="5" t="s">
        <v>54</v>
      </c>
      <c r="D599" s="5" t="s">
        <v>19</v>
      </c>
      <c r="E599" s="5">
        <f t="shared" si="20"/>
        <v>5</v>
      </c>
      <c r="F599" s="5" t="str">
        <f t="shared" si="19"/>
        <v>習い事公文5実績</v>
      </c>
      <c r="G599" s="6">
        <v>14960</v>
      </c>
      <c r="H599" s="6"/>
    </row>
    <row r="600" spans="1:8" x14ac:dyDescent="0.35">
      <c r="A600" s="7">
        <v>46173</v>
      </c>
      <c r="B600" s="5" t="s">
        <v>16</v>
      </c>
      <c r="C600" s="5" t="s">
        <v>61</v>
      </c>
      <c r="D600" s="5" t="s">
        <v>19</v>
      </c>
      <c r="E600" s="5">
        <f t="shared" si="20"/>
        <v>5</v>
      </c>
      <c r="F600" s="5" t="str">
        <f t="shared" si="19"/>
        <v>保険ゆっこ医療5実績</v>
      </c>
      <c r="G600" s="6">
        <v>2924</v>
      </c>
      <c r="H600" s="6"/>
    </row>
    <row r="601" spans="1:8" x14ac:dyDescent="0.35">
      <c r="A601" s="7">
        <v>46173</v>
      </c>
      <c r="B601" s="5" t="s">
        <v>16</v>
      </c>
      <c r="C601" s="5" t="s">
        <v>59</v>
      </c>
      <c r="D601" s="5" t="s">
        <v>19</v>
      </c>
      <c r="E601" s="5">
        <f t="shared" si="20"/>
        <v>5</v>
      </c>
      <c r="F601" s="5" t="str">
        <f t="shared" si="19"/>
        <v>保険りょう死亡5実績</v>
      </c>
      <c r="G601" s="6">
        <v>1780</v>
      </c>
      <c r="H601" s="6"/>
    </row>
    <row r="602" spans="1:8" x14ac:dyDescent="0.35">
      <c r="A602" s="7">
        <v>46173</v>
      </c>
      <c r="B602" s="5" t="s">
        <v>16</v>
      </c>
      <c r="C602" s="5" t="s">
        <v>60</v>
      </c>
      <c r="D602" s="5" t="s">
        <v>19</v>
      </c>
      <c r="E602" s="5">
        <f t="shared" si="20"/>
        <v>5</v>
      </c>
      <c r="F602" s="5" t="str">
        <f t="shared" si="19"/>
        <v>保険りょう医療5実績</v>
      </c>
      <c r="G602" s="6">
        <v>2572</v>
      </c>
      <c r="H602" s="6"/>
    </row>
    <row r="603" spans="1:8" x14ac:dyDescent="0.35">
      <c r="A603" s="7">
        <v>46173</v>
      </c>
      <c r="B603" s="5" t="s">
        <v>87</v>
      </c>
      <c r="C603" s="5" t="s">
        <v>31</v>
      </c>
      <c r="D603" s="5" t="s">
        <v>19</v>
      </c>
      <c r="E603" s="5">
        <f t="shared" si="20"/>
        <v>5</v>
      </c>
      <c r="F603" s="5" t="str">
        <f>B603&amp;C603&amp;E603&amp;D603</f>
        <v>こずかいゆっこ5実績</v>
      </c>
      <c r="G603" s="6">
        <v>25000</v>
      </c>
      <c r="H603" s="6"/>
    </row>
    <row r="604" spans="1:8" x14ac:dyDescent="0.35">
      <c r="A604" s="7">
        <v>46173</v>
      </c>
      <c r="B604" s="5" t="s">
        <v>87</v>
      </c>
      <c r="C604" s="5" t="s">
        <v>2</v>
      </c>
      <c r="D604" s="5" t="s">
        <v>19</v>
      </c>
      <c r="E604" s="5">
        <f t="shared" si="20"/>
        <v>5</v>
      </c>
      <c r="F604" s="5" t="str">
        <f t="shared" ref="F604:F621" si="21">B604&amp;C604&amp;E604&amp;D604</f>
        <v>こずかいりょう5実績</v>
      </c>
      <c r="G604" s="6">
        <v>25000</v>
      </c>
      <c r="H604" s="6"/>
    </row>
    <row r="605" spans="1:8" x14ac:dyDescent="0.35">
      <c r="A605" s="7">
        <v>46173</v>
      </c>
      <c r="B605" s="5" t="s">
        <v>17</v>
      </c>
      <c r="C605" s="5" t="s">
        <v>20</v>
      </c>
      <c r="D605" s="5" t="s">
        <v>19</v>
      </c>
      <c r="E605" s="5">
        <f t="shared" si="20"/>
        <v>5</v>
      </c>
      <c r="F605" s="5" t="str">
        <f t="shared" si="21"/>
        <v>奨学金-5実績</v>
      </c>
      <c r="G605" s="6">
        <v>10125</v>
      </c>
      <c r="H605" s="6"/>
    </row>
    <row r="606" spans="1:8" x14ac:dyDescent="0.35">
      <c r="A606" s="7">
        <v>46203</v>
      </c>
      <c r="B606" s="5" t="s">
        <v>0</v>
      </c>
      <c r="C606" s="5" t="s">
        <v>20</v>
      </c>
      <c r="D606" s="5" t="s">
        <v>19</v>
      </c>
      <c r="E606" s="5">
        <f t="shared" si="20"/>
        <v>6</v>
      </c>
      <c r="F606" s="5" t="str">
        <f t="shared" si="21"/>
        <v>家賃-6実績</v>
      </c>
      <c r="G606" s="6">
        <v>120829</v>
      </c>
      <c r="H606" s="6"/>
    </row>
    <row r="607" spans="1:8" x14ac:dyDescent="0.35">
      <c r="A607" s="7">
        <v>46203</v>
      </c>
      <c r="B607" s="5" t="s">
        <v>3</v>
      </c>
      <c r="C607" s="5" t="s">
        <v>20</v>
      </c>
      <c r="D607" s="5" t="s">
        <v>19</v>
      </c>
      <c r="E607" s="5">
        <f t="shared" si="20"/>
        <v>6</v>
      </c>
      <c r="F607" s="5" t="str">
        <f t="shared" si="21"/>
        <v>生活費-6実績</v>
      </c>
      <c r="G607" s="10">
        <v>125000</v>
      </c>
      <c r="H607" s="6" t="s">
        <v>192</v>
      </c>
    </row>
    <row r="608" spans="1:8" x14ac:dyDescent="0.35">
      <c r="A608" s="7">
        <v>46203</v>
      </c>
      <c r="B608" s="5" t="s">
        <v>3</v>
      </c>
      <c r="C608" s="5" t="s">
        <v>9</v>
      </c>
      <c r="D608" s="5" t="s">
        <v>19</v>
      </c>
      <c r="E608" s="5">
        <f t="shared" si="20"/>
        <v>6</v>
      </c>
      <c r="F608" s="5" t="str">
        <f t="shared" si="21"/>
        <v>生活費外食6実績</v>
      </c>
      <c r="G608" s="10">
        <v>0</v>
      </c>
      <c r="H608" s="6"/>
    </row>
    <row r="609" spans="1:8" x14ac:dyDescent="0.35">
      <c r="A609" s="7">
        <v>46203</v>
      </c>
      <c r="B609" s="5" t="s">
        <v>7</v>
      </c>
      <c r="C609" s="5" t="s">
        <v>10</v>
      </c>
      <c r="D609" s="5" t="s">
        <v>19</v>
      </c>
      <c r="E609" s="5">
        <f t="shared" si="20"/>
        <v>6</v>
      </c>
      <c r="F609" s="5" t="str">
        <f t="shared" si="21"/>
        <v>光熱費ガス6実績</v>
      </c>
      <c r="G609" s="10">
        <v>8000</v>
      </c>
      <c r="H609" s="6" t="s">
        <v>192</v>
      </c>
    </row>
    <row r="610" spans="1:8" x14ac:dyDescent="0.35">
      <c r="A610" s="7">
        <v>46203</v>
      </c>
      <c r="B610" s="5" t="s">
        <v>7</v>
      </c>
      <c r="C610" s="5" t="s">
        <v>40</v>
      </c>
      <c r="D610" s="5" t="s">
        <v>19</v>
      </c>
      <c r="E610" s="5">
        <f t="shared" si="20"/>
        <v>6</v>
      </c>
      <c r="F610" s="5" t="str">
        <f t="shared" si="21"/>
        <v>光熱費電気6実績</v>
      </c>
      <c r="G610" s="10">
        <v>13000</v>
      </c>
      <c r="H610" s="6" t="s">
        <v>192</v>
      </c>
    </row>
    <row r="611" spans="1:8" x14ac:dyDescent="0.35">
      <c r="A611" s="7">
        <v>46203</v>
      </c>
      <c r="B611" s="5" t="s">
        <v>7</v>
      </c>
      <c r="C611" s="5" t="s">
        <v>43</v>
      </c>
      <c r="D611" s="5" t="s">
        <v>19</v>
      </c>
      <c r="E611" s="5">
        <f t="shared" si="20"/>
        <v>6</v>
      </c>
      <c r="F611" s="5" t="str">
        <f t="shared" si="21"/>
        <v>光熱費水道6実績</v>
      </c>
      <c r="G611" s="10">
        <v>15000</v>
      </c>
      <c r="H611" s="6" t="s">
        <v>192</v>
      </c>
    </row>
    <row r="612" spans="1:8" x14ac:dyDescent="0.35">
      <c r="A612" s="7">
        <v>46203</v>
      </c>
      <c r="B612" s="5" t="s">
        <v>13</v>
      </c>
      <c r="C612" s="5" t="s">
        <v>45</v>
      </c>
      <c r="D612" s="5" t="s">
        <v>19</v>
      </c>
      <c r="E612" s="5">
        <f t="shared" si="20"/>
        <v>6</v>
      </c>
      <c r="F612" s="5" t="str">
        <f t="shared" si="21"/>
        <v>通信料GPS6実績</v>
      </c>
      <c r="G612" s="6">
        <v>0</v>
      </c>
      <c r="H612" s="6"/>
    </row>
    <row r="613" spans="1:8" x14ac:dyDescent="0.35">
      <c r="A613" s="7">
        <v>46203</v>
      </c>
      <c r="B613" s="5" t="s">
        <v>13</v>
      </c>
      <c r="C613" s="5" t="s">
        <v>4</v>
      </c>
      <c r="D613" s="5" t="s">
        <v>19</v>
      </c>
      <c r="E613" s="5">
        <f t="shared" si="20"/>
        <v>6</v>
      </c>
      <c r="F613" s="5" t="str">
        <f t="shared" si="21"/>
        <v>通信料ゆっこ6実績</v>
      </c>
      <c r="G613" s="10">
        <v>3000</v>
      </c>
      <c r="H613" s="6" t="s">
        <v>192</v>
      </c>
    </row>
    <row r="614" spans="1:8" x14ac:dyDescent="0.35">
      <c r="A614" s="7">
        <v>46203</v>
      </c>
      <c r="B614" s="5" t="s">
        <v>13</v>
      </c>
      <c r="C614" s="5" t="s">
        <v>2</v>
      </c>
      <c r="D614" s="5" t="s">
        <v>19</v>
      </c>
      <c r="E614" s="5">
        <f t="shared" si="20"/>
        <v>6</v>
      </c>
      <c r="F614" s="5" t="str">
        <f t="shared" si="21"/>
        <v>通信料りょう6実績</v>
      </c>
      <c r="G614" s="10">
        <v>3000</v>
      </c>
      <c r="H614" s="6" t="s">
        <v>192</v>
      </c>
    </row>
    <row r="615" spans="1:8" x14ac:dyDescent="0.35">
      <c r="A615" s="7">
        <v>46203</v>
      </c>
      <c r="B615" s="5" t="s">
        <v>47</v>
      </c>
      <c r="C615" s="5" t="s">
        <v>49</v>
      </c>
      <c r="D615" s="5" t="s">
        <v>19</v>
      </c>
      <c r="E615" s="5">
        <f t="shared" si="20"/>
        <v>6</v>
      </c>
      <c r="F615" s="5" t="str">
        <f t="shared" si="21"/>
        <v>サブスクiCloud6実績</v>
      </c>
      <c r="G615" s="6">
        <v>450</v>
      </c>
      <c r="H615" s="6"/>
    </row>
    <row r="616" spans="1:8" x14ac:dyDescent="0.35">
      <c r="A616" s="7">
        <v>46203</v>
      </c>
      <c r="B616" s="5" t="s">
        <v>15</v>
      </c>
      <c r="C616" s="5" t="s">
        <v>55</v>
      </c>
      <c r="D616" s="5" t="s">
        <v>19</v>
      </c>
      <c r="E616" s="5">
        <f t="shared" si="20"/>
        <v>6</v>
      </c>
      <c r="F616" s="5" t="str">
        <f t="shared" si="21"/>
        <v>習い事バレエ6実績</v>
      </c>
      <c r="G616" s="6">
        <v>9020</v>
      </c>
      <c r="H616" s="6"/>
    </row>
    <row r="617" spans="1:8" x14ac:dyDescent="0.35">
      <c r="A617" s="7">
        <v>46203</v>
      </c>
      <c r="B617" s="5" t="s">
        <v>15</v>
      </c>
      <c r="C617" s="5" t="s">
        <v>57</v>
      </c>
      <c r="D617" s="5" t="s">
        <v>19</v>
      </c>
      <c r="E617" s="5">
        <f t="shared" si="20"/>
        <v>6</v>
      </c>
      <c r="F617" s="5" t="str">
        <f t="shared" si="21"/>
        <v>習い事英会話6実績</v>
      </c>
      <c r="G617" s="10">
        <v>2980</v>
      </c>
      <c r="H617" s="6" t="s">
        <v>192</v>
      </c>
    </row>
    <row r="618" spans="1:8" x14ac:dyDescent="0.35">
      <c r="A618" s="7">
        <v>46203</v>
      </c>
      <c r="B618" s="5" t="s">
        <v>15</v>
      </c>
      <c r="C618" s="5" t="s">
        <v>54</v>
      </c>
      <c r="D618" s="5" t="s">
        <v>19</v>
      </c>
      <c r="E618" s="5">
        <f t="shared" si="20"/>
        <v>6</v>
      </c>
      <c r="F618" s="5" t="str">
        <f t="shared" si="21"/>
        <v>習い事公文6実績</v>
      </c>
      <c r="G618" s="6">
        <v>14960</v>
      </c>
      <c r="H618" s="6"/>
    </row>
    <row r="619" spans="1:8" x14ac:dyDescent="0.35">
      <c r="A619" s="7">
        <v>46203</v>
      </c>
      <c r="B619" s="5" t="s">
        <v>16</v>
      </c>
      <c r="C619" s="5" t="s">
        <v>61</v>
      </c>
      <c r="D619" s="5" t="s">
        <v>19</v>
      </c>
      <c r="E619" s="5">
        <f t="shared" si="20"/>
        <v>6</v>
      </c>
      <c r="F619" s="5" t="str">
        <f t="shared" si="21"/>
        <v>保険ゆっこ医療6実績</v>
      </c>
      <c r="G619" s="6">
        <v>2924</v>
      </c>
      <c r="H619" s="6"/>
    </row>
    <row r="620" spans="1:8" x14ac:dyDescent="0.35">
      <c r="A620" s="7">
        <v>46203</v>
      </c>
      <c r="B620" s="5" t="s">
        <v>16</v>
      </c>
      <c r="C620" s="5" t="s">
        <v>59</v>
      </c>
      <c r="D620" s="5" t="s">
        <v>19</v>
      </c>
      <c r="E620" s="5">
        <f t="shared" si="20"/>
        <v>6</v>
      </c>
      <c r="F620" s="5" t="str">
        <f t="shared" si="21"/>
        <v>保険りょう死亡6実績</v>
      </c>
      <c r="G620" s="6">
        <v>1780</v>
      </c>
      <c r="H620" s="6"/>
    </row>
    <row r="621" spans="1:8" x14ac:dyDescent="0.35">
      <c r="A621" s="7">
        <v>46203</v>
      </c>
      <c r="B621" s="5" t="s">
        <v>16</v>
      </c>
      <c r="C621" s="5" t="s">
        <v>60</v>
      </c>
      <c r="D621" s="5" t="s">
        <v>19</v>
      </c>
      <c r="E621" s="5">
        <f t="shared" si="20"/>
        <v>6</v>
      </c>
      <c r="F621" s="5" t="str">
        <f t="shared" si="21"/>
        <v>保険りょう医療6実績</v>
      </c>
      <c r="G621" s="6">
        <v>2572</v>
      </c>
      <c r="H621" s="6"/>
    </row>
    <row r="622" spans="1:8" x14ac:dyDescent="0.35">
      <c r="A622" s="7">
        <v>46203</v>
      </c>
      <c r="B622" s="5" t="s">
        <v>87</v>
      </c>
      <c r="C622" s="5" t="s">
        <v>31</v>
      </c>
      <c r="D622" s="5" t="s">
        <v>19</v>
      </c>
      <c r="E622" s="5">
        <f t="shared" si="20"/>
        <v>6</v>
      </c>
      <c r="F622" s="5" t="str">
        <f>B622&amp;C622&amp;E622&amp;D622</f>
        <v>こずかいゆっこ6実績</v>
      </c>
      <c r="G622" s="6">
        <v>25000</v>
      </c>
      <c r="H622" s="6"/>
    </row>
    <row r="623" spans="1:8" x14ac:dyDescent="0.35">
      <c r="A623" s="7">
        <v>46203</v>
      </c>
      <c r="B623" s="5" t="s">
        <v>87</v>
      </c>
      <c r="C623" s="5" t="s">
        <v>2</v>
      </c>
      <c r="D623" s="5" t="s">
        <v>19</v>
      </c>
      <c r="E623" s="5">
        <f t="shared" si="20"/>
        <v>6</v>
      </c>
      <c r="F623" s="5" t="str">
        <f t="shared" ref="F623:F624" si="22">B623&amp;C623&amp;E623&amp;D623</f>
        <v>こずかいりょう6実績</v>
      </c>
      <c r="G623" s="6">
        <v>25000</v>
      </c>
      <c r="H623" s="6"/>
    </row>
    <row r="624" spans="1:8" x14ac:dyDescent="0.35">
      <c r="A624" s="7">
        <v>46203</v>
      </c>
      <c r="B624" s="5" t="s">
        <v>17</v>
      </c>
      <c r="C624" s="5" t="s">
        <v>20</v>
      </c>
      <c r="D624" s="5" t="s">
        <v>19</v>
      </c>
      <c r="E624" s="5">
        <f t="shared" si="20"/>
        <v>6</v>
      </c>
      <c r="F624" s="5" t="str">
        <f t="shared" si="22"/>
        <v>奨学金-6実績</v>
      </c>
      <c r="G624" s="6">
        <v>10125</v>
      </c>
      <c r="H624" s="6"/>
    </row>
    <row r="625" spans="1:8" x14ac:dyDescent="0.35">
      <c r="A625" s="7">
        <v>46146</v>
      </c>
      <c r="B625" s="5" t="s">
        <v>3</v>
      </c>
      <c r="C625" s="5" t="s">
        <v>9</v>
      </c>
      <c r="D625" s="5" t="s">
        <v>19</v>
      </c>
      <c r="E625" s="5">
        <f t="shared" si="20"/>
        <v>5</v>
      </c>
      <c r="F625" s="5" t="str">
        <f t="shared" si="19"/>
        <v>生活費外食5実績</v>
      </c>
      <c r="G625" s="6">
        <v>1020</v>
      </c>
      <c r="H625" s="6"/>
    </row>
    <row r="626" spans="1:8" x14ac:dyDescent="0.35">
      <c r="A626" s="7">
        <v>46146</v>
      </c>
      <c r="B626" s="5" t="s">
        <v>3</v>
      </c>
      <c r="C626" s="5" t="s">
        <v>9</v>
      </c>
      <c r="D626" s="5" t="s">
        <v>19</v>
      </c>
      <c r="E626" s="5">
        <f t="shared" si="20"/>
        <v>5</v>
      </c>
      <c r="F626" s="5" t="str">
        <f t="shared" si="19"/>
        <v>生活費外食5実績</v>
      </c>
      <c r="G626" s="6">
        <v>624</v>
      </c>
      <c r="H626" s="6"/>
    </row>
    <row r="627" spans="1:8" x14ac:dyDescent="0.35">
      <c r="A627" s="7">
        <v>46147</v>
      </c>
      <c r="B627" s="5" t="s">
        <v>11</v>
      </c>
      <c r="C627" s="5" t="s">
        <v>85</v>
      </c>
      <c r="D627" s="5" t="s">
        <v>19</v>
      </c>
      <c r="E627" s="5">
        <f t="shared" si="20"/>
        <v>5</v>
      </c>
      <c r="F627" s="5" t="str">
        <f t="shared" si="19"/>
        <v>その他予備費5実績</v>
      </c>
      <c r="G627" s="6">
        <v>2788</v>
      </c>
      <c r="H627" s="6" t="s">
        <v>231</v>
      </c>
    </row>
    <row r="628" spans="1:8" x14ac:dyDescent="0.35">
      <c r="A628" s="7">
        <v>46147</v>
      </c>
      <c r="B628" s="5" t="s">
        <v>1</v>
      </c>
      <c r="C628" s="5" t="s">
        <v>73</v>
      </c>
      <c r="D628" s="5" t="s">
        <v>19</v>
      </c>
      <c r="E628" s="5">
        <f t="shared" si="20"/>
        <v>5</v>
      </c>
      <c r="F628" s="5" t="str">
        <f t="shared" si="19"/>
        <v>服子供5実績</v>
      </c>
      <c r="G628" s="6">
        <v>1121</v>
      </c>
      <c r="H628" s="6"/>
    </row>
    <row r="629" spans="1:8" x14ac:dyDescent="0.35">
      <c r="A629" s="7">
        <v>46147</v>
      </c>
      <c r="B629" s="5" t="s">
        <v>6</v>
      </c>
      <c r="C629" s="5" t="s">
        <v>8</v>
      </c>
      <c r="D629" s="5" t="s">
        <v>19</v>
      </c>
      <c r="E629" s="5">
        <f t="shared" si="20"/>
        <v>5</v>
      </c>
      <c r="F629" s="5" t="str">
        <f t="shared" si="19"/>
        <v>学費ことは5実績</v>
      </c>
      <c r="G629" s="6">
        <v>5681</v>
      </c>
      <c r="H629" s="6" t="s">
        <v>232</v>
      </c>
    </row>
    <row r="630" spans="1:8" x14ac:dyDescent="0.35">
      <c r="A630" s="7">
        <v>46147</v>
      </c>
      <c r="B630" s="5" t="s">
        <v>6</v>
      </c>
      <c r="C630" s="5" t="s">
        <v>5</v>
      </c>
      <c r="D630" s="5" t="s">
        <v>19</v>
      </c>
      <c r="E630" s="5">
        <f t="shared" si="20"/>
        <v>5</v>
      </c>
      <c r="F630" s="5" t="str">
        <f t="shared" si="19"/>
        <v>学費みなと5実績</v>
      </c>
      <c r="G630" s="6">
        <v>0</v>
      </c>
      <c r="H630" s="6" t="s">
        <v>232</v>
      </c>
    </row>
    <row r="631" spans="1:8" x14ac:dyDescent="0.35">
      <c r="A631" s="7">
        <v>46148</v>
      </c>
      <c r="B631" s="5" t="s">
        <v>90</v>
      </c>
      <c r="C631" s="5" t="s">
        <v>11</v>
      </c>
      <c r="D631" s="5" t="s">
        <v>19</v>
      </c>
      <c r="E631" s="5">
        <f t="shared" si="20"/>
        <v>5</v>
      </c>
      <c r="F631" s="5" t="str">
        <f t="shared" si="19"/>
        <v>娯楽費その他5実績</v>
      </c>
      <c r="G631" s="6">
        <v>3790</v>
      </c>
      <c r="H631" s="6" t="s">
        <v>233</v>
      </c>
    </row>
    <row r="632" spans="1:8" x14ac:dyDescent="0.35">
      <c r="A632" s="7">
        <v>46148</v>
      </c>
      <c r="B632" s="5" t="s">
        <v>11</v>
      </c>
      <c r="C632" s="5" t="s">
        <v>85</v>
      </c>
      <c r="D632" s="5" t="s">
        <v>19</v>
      </c>
      <c r="E632" s="5">
        <f t="shared" si="20"/>
        <v>5</v>
      </c>
      <c r="F632" s="5" t="str">
        <f t="shared" si="19"/>
        <v>その他予備費5実績</v>
      </c>
      <c r="G632" s="6">
        <v>1990</v>
      </c>
      <c r="H632" s="6" t="s">
        <v>234</v>
      </c>
    </row>
    <row r="633" spans="1:8" x14ac:dyDescent="0.35">
      <c r="A633" s="7">
        <v>46149</v>
      </c>
      <c r="B633" s="5" t="s">
        <v>3</v>
      </c>
      <c r="C633" s="5" t="s">
        <v>9</v>
      </c>
      <c r="D633" s="5" t="s">
        <v>19</v>
      </c>
      <c r="E633" s="5">
        <f t="shared" si="20"/>
        <v>5</v>
      </c>
      <c r="F633" s="5" t="str">
        <f t="shared" si="19"/>
        <v>生活費外食5実績</v>
      </c>
      <c r="G633" s="6">
        <v>2498</v>
      </c>
      <c r="H633" s="6" t="s">
        <v>235</v>
      </c>
    </row>
    <row r="634" spans="1:8" x14ac:dyDescent="0.35">
      <c r="A634" s="7">
        <v>46150</v>
      </c>
      <c r="B634" s="5" t="s">
        <v>21</v>
      </c>
      <c r="C634" s="5" t="s">
        <v>20</v>
      </c>
      <c r="D634" s="5" t="s">
        <v>19</v>
      </c>
      <c r="E634" s="5">
        <f t="shared" si="20"/>
        <v>5</v>
      </c>
      <c r="F634" s="5" t="str">
        <f t="shared" si="19"/>
        <v>医療費-5実績</v>
      </c>
      <c r="G634" s="6">
        <v>2500</v>
      </c>
      <c r="H634" s="6" t="s">
        <v>236</v>
      </c>
    </row>
    <row r="635" spans="1:8" x14ac:dyDescent="0.35">
      <c r="A635" s="7">
        <v>46151</v>
      </c>
      <c r="B635" s="5" t="s">
        <v>237</v>
      </c>
      <c r="C635" s="5" t="s">
        <v>238</v>
      </c>
      <c r="D635" s="5" t="s">
        <v>19</v>
      </c>
      <c r="E635" s="5">
        <f t="shared" si="20"/>
        <v>5</v>
      </c>
      <c r="F635" s="5" t="str">
        <f t="shared" si="19"/>
        <v>服りょう5実績</v>
      </c>
      <c r="G635" s="6">
        <v>2490</v>
      </c>
      <c r="H635" s="6" t="s">
        <v>239</v>
      </c>
    </row>
    <row r="636" spans="1:8" x14ac:dyDescent="0.35">
      <c r="A636" s="7">
        <v>46151</v>
      </c>
      <c r="B636" s="5" t="s">
        <v>11</v>
      </c>
      <c r="C636" s="5" t="s">
        <v>85</v>
      </c>
      <c r="D636" s="5" t="s">
        <v>19</v>
      </c>
      <c r="E636" s="5">
        <f t="shared" si="20"/>
        <v>5</v>
      </c>
      <c r="F636" s="5" t="str">
        <f t="shared" si="19"/>
        <v>その他予備費5実績</v>
      </c>
      <c r="G636" s="6">
        <v>1738</v>
      </c>
      <c r="H636" s="6" t="s">
        <v>240</v>
      </c>
    </row>
    <row r="637" spans="1:8" x14ac:dyDescent="0.35">
      <c r="A637" s="7">
        <v>46151</v>
      </c>
      <c r="B637" s="5" t="s">
        <v>237</v>
      </c>
      <c r="C637" s="5" t="s">
        <v>241</v>
      </c>
      <c r="D637" s="5" t="s">
        <v>19</v>
      </c>
      <c r="E637" s="5">
        <f t="shared" si="20"/>
        <v>5</v>
      </c>
      <c r="F637" s="5" t="str">
        <f t="shared" si="19"/>
        <v>服ゆっこ5実績</v>
      </c>
      <c r="G637" s="6">
        <v>2420</v>
      </c>
      <c r="H637" s="6" t="s">
        <v>242</v>
      </c>
    </row>
    <row r="638" spans="1:8" x14ac:dyDescent="0.35">
      <c r="A638" s="7">
        <v>46151</v>
      </c>
      <c r="B638" s="5" t="s">
        <v>21</v>
      </c>
      <c r="C638" s="5" t="s">
        <v>20</v>
      </c>
      <c r="D638" s="5" t="s">
        <v>19</v>
      </c>
      <c r="E638" s="5">
        <f t="shared" si="20"/>
        <v>5</v>
      </c>
      <c r="F638" s="5" t="str">
        <f t="shared" si="19"/>
        <v>医療費-5実績</v>
      </c>
      <c r="G638" s="6">
        <v>400</v>
      </c>
      <c r="H638" s="6" t="s">
        <v>243</v>
      </c>
    </row>
    <row r="639" spans="1:8" x14ac:dyDescent="0.35">
      <c r="A639" s="7">
        <v>46151</v>
      </c>
      <c r="B639" s="5" t="s">
        <v>237</v>
      </c>
      <c r="C639" s="5" t="s">
        <v>244</v>
      </c>
      <c r="D639" s="5" t="s">
        <v>19</v>
      </c>
      <c r="E639" s="5">
        <f t="shared" si="20"/>
        <v>5</v>
      </c>
      <c r="F639" s="5" t="str">
        <f t="shared" si="19"/>
        <v>服子供5実績</v>
      </c>
      <c r="G639" s="6">
        <v>824</v>
      </c>
      <c r="H639" s="6" t="s">
        <v>245</v>
      </c>
    </row>
    <row r="640" spans="1:8" x14ac:dyDescent="0.35">
      <c r="A640" s="7">
        <v>46151</v>
      </c>
      <c r="B640" s="5" t="s">
        <v>246</v>
      </c>
      <c r="C640" s="5" t="s">
        <v>247</v>
      </c>
      <c r="D640" s="5" t="s">
        <v>19</v>
      </c>
      <c r="E640" s="5">
        <f t="shared" si="20"/>
        <v>5</v>
      </c>
      <c r="F640" s="5" t="str">
        <f t="shared" si="19"/>
        <v>生活費外食5実績</v>
      </c>
      <c r="G640" s="6">
        <v>1710</v>
      </c>
      <c r="H640" s="6" t="s">
        <v>248</v>
      </c>
    </row>
    <row r="641" spans="1:8" x14ac:dyDescent="0.35">
      <c r="A641" s="7">
        <v>46152</v>
      </c>
      <c r="B641" s="5" t="s">
        <v>6</v>
      </c>
      <c r="C641" s="5" t="s">
        <v>5</v>
      </c>
      <c r="D641" s="5" t="s">
        <v>19</v>
      </c>
      <c r="E641" s="5">
        <f t="shared" si="20"/>
        <v>5</v>
      </c>
      <c r="F641" s="5" t="str">
        <f t="shared" si="19"/>
        <v>学費みなと5実績</v>
      </c>
      <c r="G641" s="6">
        <v>2529</v>
      </c>
      <c r="H641" s="5" t="s">
        <v>249</v>
      </c>
    </row>
    <row r="642" spans="1:8" x14ac:dyDescent="0.35">
      <c r="A642" s="7">
        <v>46154</v>
      </c>
      <c r="B642" s="5" t="s">
        <v>21</v>
      </c>
      <c r="C642" s="5" t="s">
        <v>20</v>
      </c>
      <c r="D642" s="5" t="s">
        <v>19</v>
      </c>
      <c r="E642" s="5">
        <f t="shared" si="20"/>
        <v>5</v>
      </c>
      <c r="F642" s="5" t="str">
        <f t="shared" si="19"/>
        <v>医療費-5実績</v>
      </c>
      <c r="G642" s="6">
        <v>3590</v>
      </c>
      <c r="H642" s="5" t="s">
        <v>250</v>
      </c>
    </row>
    <row r="643" spans="1:8" x14ac:dyDescent="0.35">
      <c r="A643" s="7">
        <v>46153</v>
      </c>
      <c r="B643" s="5" t="s">
        <v>1</v>
      </c>
      <c r="C643" s="5" t="s">
        <v>73</v>
      </c>
      <c r="D643" s="5" t="s">
        <v>19</v>
      </c>
      <c r="E643" s="5">
        <f t="shared" si="20"/>
        <v>5</v>
      </c>
      <c r="F643" s="5" t="str">
        <f t="shared" si="19"/>
        <v>服子供5実績</v>
      </c>
      <c r="G643" s="6">
        <v>5874</v>
      </c>
      <c r="H643" s="6"/>
    </row>
    <row r="644" spans="1:8" x14ac:dyDescent="0.35">
      <c r="A644" s="7">
        <v>46157</v>
      </c>
      <c r="B644" s="5" t="s">
        <v>3</v>
      </c>
      <c r="C644" s="5" t="s">
        <v>9</v>
      </c>
      <c r="D644" s="5" t="s">
        <v>19</v>
      </c>
      <c r="E644" s="5">
        <f t="shared" si="20"/>
        <v>5</v>
      </c>
      <c r="F644" s="5" t="str">
        <f t="shared" si="19"/>
        <v>生活費外食5実績</v>
      </c>
      <c r="G644" s="6">
        <v>2420</v>
      </c>
      <c r="H644" s="6" t="s">
        <v>251</v>
      </c>
    </row>
    <row r="645" spans="1:8" x14ac:dyDescent="0.35">
      <c r="A645" s="7">
        <v>46157</v>
      </c>
      <c r="B645" s="5" t="s">
        <v>21</v>
      </c>
      <c r="C645" s="5" t="s">
        <v>252</v>
      </c>
      <c r="D645" s="5" t="s">
        <v>19</v>
      </c>
      <c r="E645" s="5">
        <f t="shared" si="20"/>
        <v>5</v>
      </c>
      <c r="F645" s="5" t="str">
        <f t="shared" si="19"/>
        <v>医療費-5実績</v>
      </c>
      <c r="G645" s="6">
        <v>1550</v>
      </c>
      <c r="H645" s="6" t="s">
        <v>253</v>
      </c>
    </row>
    <row r="646" spans="1:8" x14ac:dyDescent="0.35">
      <c r="A646" s="7">
        <v>46159</v>
      </c>
      <c r="B646" s="5" t="s">
        <v>21</v>
      </c>
      <c r="C646" s="5" t="s">
        <v>252</v>
      </c>
      <c r="D646" s="5" t="s">
        <v>19</v>
      </c>
      <c r="E646" s="5">
        <f t="shared" si="20"/>
        <v>5</v>
      </c>
      <c r="F646" s="5" t="str">
        <f t="shared" si="19"/>
        <v>医療費-5実績</v>
      </c>
      <c r="G646" s="6">
        <v>1100</v>
      </c>
      <c r="H646" s="6" t="s">
        <v>254</v>
      </c>
    </row>
    <row r="647" spans="1:8" x14ac:dyDescent="0.35">
      <c r="A647" s="7">
        <v>46159</v>
      </c>
      <c r="B647" s="5" t="s">
        <v>255</v>
      </c>
      <c r="C647" s="5" t="s">
        <v>256</v>
      </c>
      <c r="D647" s="5" t="s">
        <v>19</v>
      </c>
      <c r="E647" s="5">
        <f t="shared" si="20"/>
        <v>5</v>
      </c>
      <c r="F647" s="5" t="str">
        <f t="shared" si="19"/>
        <v>服子供5実績</v>
      </c>
      <c r="G647" s="6">
        <v>1518</v>
      </c>
      <c r="H647" s="6"/>
    </row>
    <row r="648" spans="1:8" x14ac:dyDescent="0.35">
      <c r="A648" s="7">
        <v>46159</v>
      </c>
      <c r="B648" s="5" t="s">
        <v>255</v>
      </c>
      <c r="C648" s="5" t="s">
        <v>257</v>
      </c>
      <c r="D648" s="5" t="s">
        <v>19</v>
      </c>
      <c r="E648" s="5">
        <f t="shared" si="20"/>
        <v>5</v>
      </c>
      <c r="F648" s="5" t="str">
        <f t="shared" si="19"/>
        <v>服ゆっこ5実績</v>
      </c>
      <c r="G648" s="6">
        <v>4697</v>
      </c>
      <c r="H648" s="6"/>
    </row>
    <row r="649" spans="1:8" x14ac:dyDescent="0.35">
      <c r="A649" s="7"/>
      <c r="B649" s="5"/>
      <c r="C649" s="5"/>
      <c r="D649" s="5"/>
      <c r="E649" s="5">
        <f t="shared" si="20"/>
        <v>1</v>
      </c>
      <c r="F649" s="5" t="str">
        <f t="shared" si="19"/>
        <v>1</v>
      </c>
      <c r="G649" s="6"/>
      <c r="H649" s="6"/>
    </row>
    <row r="650" spans="1:8" x14ac:dyDescent="0.35">
      <c r="A650" s="7"/>
      <c r="B650" s="5"/>
      <c r="C650" s="5"/>
      <c r="D650" s="5"/>
      <c r="E650" s="5">
        <f t="shared" ref="E650:E651" si="23">MONTH(A650)</f>
        <v>1</v>
      </c>
      <c r="F650" s="5" t="str">
        <f t="shared" si="19"/>
        <v>1</v>
      </c>
      <c r="G650" s="6"/>
      <c r="H650" s="6"/>
    </row>
    <row r="651" spans="1:8" x14ac:dyDescent="0.35">
      <c r="A651" s="7"/>
      <c r="B651" s="5"/>
      <c r="C651" s="5"/>
      <c r="D651" s="5"/>
      <c r="E651" s="5">
        <f t="shared" si="23"/>
        <v>1</v>
      </c>
      <c r="F651" s="5" t="str">
        <f t="shared" si="19"/>
        <v>1</v>
      </c>
      <c r="G651" s="6"/>
      <c r="H651" s="6"/>
    </row>
    <row r="652" spans="1:8" x14ac:dyDescent="0.35">
      <c r="A652" s="7"/>
      <c r="B652" s="5"/>
      <c r="C652" s="5"/>
      <c r="D652" s="5"/>
      <c r="E652" s="5">
        <f t="shared" ref="E652:E658" si="24">MONTH(A652)</f>
        <v>1</v>
      </c>
      <c r="F652" s="5" t="str">
        <f t="shared" ref="F652:F658" si="25">B652&amp;C652&amp;E652&amp;D652</f>
        <v>1</v>
      </c>
      <c r="G652" s="6"/>
      <c r="H652" s="6"/>
    </row>
    <row r="653" spans="1:8" x14ac:dyDescent="0.35">
      <c r="A653" s="7"/>
      <c r="B653" s="5"/>
      <c r="C653" s="5"/>
      <c r="D653" s="5"/>
      <c r="E653" s="5">
        <f t="shared" si="24"/>
        <v>1</v>
      </c>
      <c r="F653" s="5" t="str">
        <f t="shared" si="25"/>
        <v>1</v>
      </c>
      <c r="G653" s="6"/>
      <c r="H653" s="6"/>
    </row>
    <row r="654" spans="1:8" x14ac:dyDescent="0.35">
      <c r="A654" s="7"/>
      <c r="B654" s="5"/>
      <c r="C654" s="5"/>
      <c r="D654" s="5"/>
      <c r="E654" s="5">
        <f t="shared" si="24"/>
        <v>1</v>
      </c>
      <c r="F654" s="5" t="str">
        <f t="shared" si="25"/>
        <v>1</v>
      </c>
      <c r="G654" s="6"/>
      <c r="H654" s="6"/>
    </row>
    <row r="655" spans="1:8" x14ac:dyDescent="0.35">
      <c r="A655" s="7"/>
      <c r="B655" s="5"/>
      <c r="C655" s="5"/>
      <c r="D655" s="5"/>
      <c r="E655" s="5">
        <f t="shared" si="24"/>
        <v>1</v>
      </c>
      <c r="F655" s="5" t="str">
        <f t="shared" si="25"/>
        <v>1</v>
      </c>
      <c r="G655" s="6"/>
      <c r="H655" s="6"/>
    </row>
    <row r="656" spans="1:8" x14ac:dyDescent="0.35">
      <c r="A656" s="7"/>
      <c r="B656" s="5"/>
      <c r="C656" s="5"/>
      <c r="D656" s="5"/>
      <c r="E656" s="5">
        <f t="shared" si="24"/>
        <v>1</v>
      </c>
      <c r="F656" s="5" t="str">
        <f t="shared" si="25"/>
        <v>1</v>
      </c>
      <c r="G656" s="6"/>
      <c r="H656" s="6"/>
    </row>
    <row r="657" spans="1:8" x14ac:dyDescent="0.35">
      <c r="A657" s="7"/>
      <c r="B657" s="5"/>
      <c r="C657" s="5"/>
      <c r="D657" s="5"/>
      <c r="E657" s="5">
        <f t="shared" si="24"/>
        <v>1</v>
      </c>
      <c r="F657" s="5" t="str">
        <f t="shared" si="25"/>
        <v>1</v>
      </c>
      <c r="G657" s="6"/>
      <c r="H657" s="6"/>
    </row>
    <row r="658" spans="1:8" x14ac:dyDescent="0.35">
      <c r="A658" s="7"/>
      <c r="B658" s="5"/>
      <c r="C658" s="5"/>
      <c r="D658" s="5"/>
      <c r="E658" s="5">
        <f t="shared" si="24"/>
        <v>1</v>
      </c>
      <c r="F658" s="5" t="str">
        <f t="shared" si="25"/>
        <v>1</v>
      </c>
      <c r="G658" s="6"/>
      <c r="H658" s="6"/>
    </row>
  </sheetData>
  <autoFilter ref="A1:H658" xr:uid="{CD0DB41C-1229-4A2D-AB76-57C35A8F00D8}"/>
  <phoneticPr fontId="2"/>
  <dataValidations count="6">
    <dataValidation type="list" allowBlank="1" showInputMessage="1" showErrorMessage="1" sqref="D652:D658" xr:uid="{5B67F85E-9D17-4307-BDC6-AE83260D11C7}">
      <formula1>$L$2:$L$3</formula1>
    </dataValidation>
    <dataValidation type="list" allowBlank="1" showInputMessage="1" showErrorMessage="1" sqref="B652:B1048576" xr:uid="{2E3ACDB5-6551-4396-A88E-14FEB151CED4}">
      <formula1>$J$2:$J$19</formula1>
    </dataValidation>
    <dataValidation type="list" allowBlank="1" showInputMessage="1" showErrorMessage="1" sqref="C652:C1048576" xr:uid="{910F4386-FD7F-4F32-AAFF-0B1298D3FBEC}">
      <formula1>$K$2:$K$34</formula1>
    </dataValidation>
    <dataValidation type="list" allowBlank="1" showInputMessage="1" showErrorMessage="1" sqref="C1:C651" xr:uid="{30EEE32F-3918-4BA6-9B63-CADE7424ABCD}">
      <formula1>$L$3:$L$35</formula1>
    </dataValidation>
    <dataValidation type="list" allowBlank="1" showInputMessage="1" showErrorMessage="1" sqref="B1:B651" xr:uid="{6F660A3A-19A7-4B4F-83F5-0346813C75F4}">
      <formula1>$K$3:$K$20</formula1>
    </dataValidation>
    <dataValidation type="list" allowBlank="1" showInputMessage="1" showErrorMessage="1" sqref="D2:D651" xr:uid="{9F307D87-AAFB-4A79-BE24-527506E91BA8}">
      <formula1>$M$3:$M$4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2026-05-17T07:29:58Z</dcterms:modified>
  <cp:category/>
  <cp:contentStatus/>
</cp:coreProperties>
</file>