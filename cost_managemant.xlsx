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OneDrive\Desktop\Python_dir\money_managemant\"/>
    </mc:Choice>
  </mc:AlternateContent>
  <xr:revisionPtr revIDLastSave="0" documentId="13_ncr:1_{B01D6116-F4DB-46BB-862F-A034B8FD710A}" xr6:coauthVersionLast="47" xr6:coauthVersionMax="47" xr10:uidLastSave="{00000000-0000-0000-0000-000000000000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41" i="7" l="1"/>
  <c r="F541" i="7" s="1"/>
  <c r="F540" i="7"/>
  <c r="E540" i="7"/>
  <c r="E539" i="7"/>
  <c r="F539" i="7" s="1"/>
  <c r="E538" i="7"/>
  <c r="F538" i="7" s="1"/>
  <c r="E537" i="7"/>
  <c r="F537" i="7" s="1"/>
  <c r="E536" i="7"/>
  <c r="F536" i="7" s="1"/>
  <c r="E535" i="7"/>
  <c r="F535" i="7" s="1"/>
  <c r="F534" i="7"/>
  <c r="E534" i="7"/>
  <c r="E533" i="7"/>
  <c r="F533" i="7" s="1"/>
  <c r="E532" i="7"/>
  <c r="F532" i="7" s="1"/>
  <c r="E531" i="7"/>
  <c r="F531" i="7" s="1"/>
  <c r="E530" i="7"/>
  <c r="F530" i="7" s="1"/>
  <c r="E529" i="7"/>
  <c r="F529" i="7" s="1"/>
  <c r="E528" i="7"/>
  <c r="F528" i="7" s="1"/>
  <c r="E524" i="7"/>
  <c r="F524" i="7" s="1"/>
  <c r="E336" i="7" l="1"/>
  <c r="E505" i="7"/>
  <c r="F505" i="7" s="1"/>
  <c r="E515" i="7" l="1"/>
  <c r="F515" i="7" s="1"/>
  <c r="E514" i="7"/>
  <c r="F514" i="7" s="1"/>
  <c r="E513" i="7"/>
  <c r="F513" i="7" s="1"/>
  <c r="E512" i="7"/>
  <c r="F512" i="7" s="1"/>
  <c r="E511" i="7"/>
  <c r="F511" i="7" s="1"/>
  <c r="E510" i="7"/>
  <c r="F510" i="7" s="1"/>
  <c r="E509" i="7"/>
  <c r="F509" i="7" s="1"/>
  <c r="E508" i="7"/>
  <c r="F508" i="7" s="1"/>
  <c r="E507" i="7"/>
  <c r="F507" i="7" s="1"/>
  <c r="E506" i="7"/>
  <c r="F506" i="7" s="1"/>
  <c r="E504" i="7"/>
  <c r="F504" i="7" s="1"/>
  <c r="E503" i="7"/>
  <c r="F503" i="7" s="1"/>
  <c r="E501" i="7"/>
  <c r="F501" i="7" s="1"/>
  <c r="E500" i="7"/>
  <c r="F500" i="7" s="1"/>
  <c r="E499" i="7"/>
  <c r="F499" i="7" s="1"/>
  <c r="E498" i="7"/>
  <c r="F498" i="7" s="1"/>
  <c r="E496" i="7" l="1"/>
  <c r="F496" i="7" s="1"/>
  <c r="E495" i="7"/>
  <c r="F495" i="7" s="1"/>
  <c r="G484" i="7" l="1"/>
  <c r="G485" i="7" s="1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7" i="7"/>
  <c r="F497" i="7" s="1"/>
  <c r="E502" i="7"/>
  <c r="F502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5" i="7"/>
  <c r="F525" i="7" s="1"/>
  <c r="E526" i="7"/>
  <c r="F526" i="7" s="1"/>
  <c r="E527" i="7"/>
  <c r="F527" i="7" s="1"/>
  <c r="E542" i="7"/>
  <c r="F542" i="7" s="1"/>
  <c r="E543" i="7"/>
  <c r="F543" i="7" s="1"/>
  <c r="E544" i="7"/>
  <c r="F544" i="7" s="1"/>
  <c r="E545" i="7"/>
  <c r="F545" i="7" s="1"/>
  <c r="E546" i="7"/>
  <c r="F546" i="7" s="1"/>
  <c r="E547" i="7"/>
  <c r="F547" i="7" s="1"/>
  <c r="E548" i="7"/>
  <c r="F548" i="7" s="1"/>
  <c r="E549" i="7"/>
  <c r="F549" i="7" s="1"/>
  <c r="E550" i="7"/>
  <c r="F550" i="7" s="1"/>
  <c r="E551" i="7"/>
  <c r="F551" i="7" s="1"/>
  <c r="E552" i="7"/>
  <c r="F552" i="7" s="1"/>
  <c r="E553" i="7"/>
  <c r="F553" i="7" s="1"/>
  <c r="E554" i="7"/>
  <c r="F554" i="7" s="1"/>
  <c r="E555" i="7"/>
  <c r="F555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481" i="7"/>
  <c r="F481" i="7" s="1"/>
  <c r="E479" i="7"/>
  <c r="F479" i="7" s="1"/>
  <c r="E452" i="7"/>
  <c r="F452" i="7" s="1"/>
  <c r="E451" i="7"/>
  <c r="F451" i="7" s="1"/>
  <c r="E450" i="7"/>
  <c r="F450" i="7" s="1"/>
  <c r="E449" i="7"/>
  <c r="F449" i="7" s="1"/>
  <c r="E448" i="7"/>
  <c r="F448" i="7" s="1"/>
  <c r="E443" i="7"/>
  <c r="F443" i="7" s="1"/>
  <c r="E442" i="7"/>
  <c r="F442" i="7" s="1"/>
  <c r="E441" i="7"/>
  <c r="F441" i="7" s="1"/>
  <c r="E440" i="7"/>
  <c r="F440" i="7" s="1"/>
  <c r="E439" i="7"/>
  <c r="F439" i="7" s="1"/>
  <c r="E433" i="7" l="1"/>
  <c r="F433" i="7" s="1"/>
  <c r="E432" i="7"/>
  <c r="F432" i="7" s="1"/>
  <c r="E419" i="7" l="1"/>
  <c r="E414" i="7"/>
  <c r="F414" i="7" s="1"/>
  <c r="E409" i="7"/>
  <c r="F409" i="7" s="1"/>
  <c r="E408" i="7"/>
  <c r="F408" i="7" s="1"/>
  <c r="E407" i="7"/>
  <c r="F407" i="7" s="1"/>
  <c r="E398" i="7"/>
  <c r="F398" i="7" s="1"/>
  <c r="G378" i="7"/>
  <c r="E374" i="7" l="1"/>
  <c r="F374" i="7" s="1"/>
  <c r="E373" i="7"/>
  <c r="F373" i="7" s="1"/>
  <c r="E146" i="7" l="1"/>
  <c r="F146" i="7" s="1"/>
  <c r="E145" i="7"/>
  <c r="F145" i="7" s="1"/>
  <c r="E144" i="7"/>
  <c r="F144" i="7" s="1"/>
  <c r="E143" i="7"/>
  <c r="F143" i="7" s="1"/>
  <c r="E142" i="7"/>
  <c r="F142" i="7" s="1"/>
  <c r="E141" i="7"/>
  <c r="F141" i="7" s="1"/>
  <c r="E140" i="7"/>
  <c r="F140" i="7" s="1"/>
  <c r="E139" i="7"/>
  <c r="F139" i="7" s="1"/>
  <c r="E138" i="7"/>
  <c r="F138" i="7" s="1"/>
  <c r="E365" i="7" l="1"/>
  <c r="F365" i="7" s="1"/>
  <c r="E364" i="7"/>
  <c r="F364" i="7" s="1"/>
  <c r="E352" i="7" l="1"/>
  <c r="F352" i="7" s="1"/>
  <c r="G7" i="7"/>
  <c r="E3" i="7"/>
  <c r="F3" i="7" s="1"/>
  <c r="E4" i="7"/>
  <c r="F4" i="7" s="1"/>
  <c r="E5" i="7"/>
  <c r="F5" i="7" s="1"/>
  <c r="E6" i="7"/>
  <c r="F6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E194" i="7"/>
  <c r="F194" i="7" s="1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E226" i="7"/>
  <c r="F226" i="7" s="1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F336" i="7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3" i="7"/>
  <c r="F353" i="7" s="1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E360" i="7"/>
  <c r="F360" i="7" s="1"/>
  <c r="E361" i="7"/>
  <c r="F361" i="7" s="1"/>
  <c r="E362" i="7"/>
  <c r="F362" i="7" s="1"/>
  <c r="E363" i="7"/>
  <c r="F363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10" i="7"/>
  <c r="F410" i="7" s="1"/>
  <c r="E411" i="7"/>
  <c r="F411" i="7" s="1"/>
  <c r="E412" i="7"/>
  <c r="F412" i="7" s="1"/>
  <c r="E413" i="7"/>
  <c r="F413" i="7" s="1"/>
  <c r="E415" i="7"/>
  <c r="F415" i="7" s="1"/>
  <c r="E416" i="7"/>
  <c r="F416" i="7" s="1"/>
  <c r="E417" i="7"/>
  <c r="F417" i="7" s="1"/>
  <c r="E418" i="7"/>
  <c r="F418" i="7" s="1"/>
  <c r="F419" i="7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4" i="7"/>
  <c r="F434" i="7" s="1"/>
  <c r="E435" i="7"/>
  <c r="F435" i="7" s="1"/>
  <c r="E436" i="7"/>
  <c r="F436" i="7" s="1"/>
  <c r="E437" i="7"/>
  <c r="F437" i="7" s="1"/>
  <c r="E438" i="7"/>
  <c r="F438" i="7" s="1"/>
  <c r="E444" i="7"/>
  <c r="F444" i="7" s="1"/>
  <c r="E445" i="7"/>
  <c r="F445" i="7" s="1"/>
  <c r="E446" i="7"/>
  <c r="F446" i="7" s="1"/>
  <c r="E447" i="7"/>
  <c r="F447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80" i="7"/>
  <c r="F480" i="7" s="1"/>
  <c r="E2" i="7"/>
  <c r="F2" i="7" s="1"/>
  <c r="G257" i="7"/>
  <c r="G255" i="7"/>
  <c r="G254" i="7"/>
  <c r="G253" i="7"/>
  <c r="G246" i="7"/>
  <c r="G242" i="7"/>
  <c r="G238" i="7"/>
  <c r="G135" i="7"/>
  <c r="G131" i="7"/>
</calcChain>
</file>

<file path=xl/sharedStrings.xml><?xml version="1.0" encoding="utf-8"?>
<sst xmlns="http://schemas.openxmlformats.org/spreadsheetml/2006/main" count="1813" uniqueCount="312">
  <si>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</si>
  <si>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</si>
  <si>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</si>
  <si>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</si>
  <si>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</si>
  <si>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</si>
  <si>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</si>
  <si>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</si>
  <si>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</si>
  <si>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</si>
  <si>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</si>
  <si>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</si>
  <si>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</si>
  <si>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</si>
  <si>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</si>
  <si>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</si>
  <si>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</si>
  <si>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</si>
  <si>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</si>
  <si>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</si>
  <si>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</si>
  <si>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</si>
  <si>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</si>
  <si>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</si>
  <si>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</si>
  <si>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</si>
  <si>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</si>
  <si>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</si>
  <si>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</si>
  <si>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</si>
  <si>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</si>
  <si>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</si>
  <si>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</si>
  <si>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</si>
  <si>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</si>
  <si>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</si>
  <si>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</si>
  <si>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</si>
  <si>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</si>
  <si>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</si>
  <si>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</si>
  <si>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</si>
  <si>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</si>
  <si>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</si>
  <si>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</si>
  <si>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</si>
  <si>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</si>
  <si>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</si>
  <si>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</si>
  <si>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</si>
  <si>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</si>
  <si>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</si>
  <si>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</si>
  <si>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</si>
  <si>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</si>
  <si>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</si>
  <si>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</si>
  <si>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</si>
  <si>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</si>
  <si>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</si>
  <si>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</si>
  <si>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</si>
  <si>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</si>
  <si>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</si>
  <si>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</si>
  <si>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</si>
  <si>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</si>
  <si>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</si>
  <si>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</si>
  <si>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</si>
  <si>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</si>
  <si>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</si>
  <si>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</si>
  <si>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</si>
  <si>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</si>
  <si>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</si>
  <si>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</si>
  <si>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</si>
  <si>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</si>
  <si>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</si>
  <si>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</si>
  <si>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</si>
  <si>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</si>
  <si>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</si>
  <si>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</si>
  <si>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</si>
  <si>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</si>
  <si>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</si>
  <si>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</si>
  <si>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</si>
  <si>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</si>
  <si>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</si>
  <si>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</si>
  <si>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</si>
  <si>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</si>
  <si>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</si>
  <si>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</si>
  <si>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</si>
  <si>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</si>
  <si>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</si>
  <si>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</si>
  <si>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</si>
  <si>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</si>
  <si>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</si>
  <si>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</si>
  <si>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</si>
  <si>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</si>
  <si>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</si>
  <si>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</si>
  <si>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</si>
  <si>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</si>
  <si>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</si>
  <si>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</si>
  <si>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</si>
  <si>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</si>
  <si>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</si>
  <si>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外食</t>
    <rPh sb="0" eb="2">
      <t>ガイショク</t>
    </rPh>
    <phoneticPr fontId="2"/>
  </si>
  <si>
    <t>学費</t>
    <rPh sb="0" eb="2">
      <t>ガクヒ</t>
    </rPh>
    <phoneticPr fontId="2"/>
  </si>
  <si>
    <t>ことは</t>
    <phoneticPr fontId="2"/>
  </si>
  <si>
    <t>実績</t>
    <rPh sb="0" eb="2">
      <t>ジッセキ</t>
    </rPh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</si>
  <si>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</si>
  <si>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</si>
  <si>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</si>
  <si>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</si>
  <si>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</si>
  <si>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</si>
  <si>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実績</t>
    <rPh sb="0" eb="2">
      <t>ジッセキ</t>
    </rPh>
    <phoneticPr fontId="2"/>
  </si>
  <si>
    <t>GPS</t>
    <phoneticPr fontId="2"/>
  </si>
  <si>
    <t>なぜか2か月分</t>
    <rPh sb="5" eb="7">
      <t>ゲツブン</t>
    </rPh>
    <phoneticPr fontId="2"/>
  </si>
  <si>
    <t>学費</t>
    <rPh sb="0" eb="2">
      <t>ガクヒ</t>
    </rPh>
    <phoneticPr fontId="2"/>
  </si>
  <si>
    <t>みなと</t>
    <phoneticPr fontId="2"/>
  </si>
  <si>
    <t>給食費</t>
    <rPh sb="0" eb="3">
      <t>キュウショクヒ</t>
    </rPh>
    <phoneticPr fontId="2"/>
  </si>
  <si>
    <t>サブスク</t>
    <phoneticPr fontId="2"/>
  </si>
  <si>
    <t>iCloud</t>
    <phoneticPr fontId="2"/>
  </si>
  <si>
    <t>保険</t>
    <rPh sb="0" eb="2">
      <t>ホケン</t>
    </rPh>
    <phoneticPr fontId="2"/>
  </si>
  <si>
    <t>実績</t>
    <rPh sb="0" eb="2">
      <t>ジッセキ</t>
    </rPh>
    <phoneticPr fontId="2"/>
  </si>
  <si>
    <t>光熱費</t>
    <rPh sb="0" eb="3">
      <t>コウネツヒ</t>
    </rPh>
    <phoneticPr fontId="2"/>
  </si>
  <si>
    <t>ガス</t>
    <phoneticPr fontId="2"/>
  </si>
  <si>
    <t>奨学金</t>
    <rPh sb="0" eb="3">
      <t>ショウガクキン</t>
    </rPh>
    <phoneticPr fontId="2"/>
  </si>
  <si>
    <t>-</t>
    <phoneticPr fontId="2"/>
  </si>
  <si>
    <t>保険</t>
    <rPh sb="0" eb="2">
      <t>ホケン</t>
    </rPh>
    <phoneticPr fontId="2"/>
  </si>
  <si>
    <t>教材費？</t>
    <rPh sb="0" eb="3">
      <t>キョウザイヒ</t>
    </rPh>
    <phoneticPr fontId="2"/>
  </si>
  <si>
    <t>化粧品</t>
    <rPh sb="0" eb="3">
      <t>ケショウヒン</t>
    </rPh>
    <phoneticPr fontId="2"/>
  </si>
  <si>
    <t>ブラシ</t>
    <phoneticPr fontId="2"/>
  </si>
  <si>
    <t>ロールオン</t>
    <phoneticPr fontId="2"/>
  </si>
  <si>
    <t>電気</t>
    <rPh sb="0" eb="2">
      <t>デンキ</t>
    </rPh>
    <phoneticPr fontId="2"/>
  </si>
  <si>
    <t>水道</t>
    <rPh sb="0" eb="2">
      <t>スイドウ</t>
    </rPh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</si>
  <si>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</si>
  <si>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</si>
  <si>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</si>
  <si>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</si>
  <si>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</si>
  <si>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</si>
  <si>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</si>
  <si>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</si>
  <si>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ゆっこ</t>
    <phoneticPr fontId="2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</si>
  <si>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</si>
  <si>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</si>
  <si>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</si>
  <si>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医療費</t>
    <rPh sb="0" eb="3">
      <t>イリョウヒ</t>
    </rPh>
    <phoneticPr fontId="2"/>
  </si>
  <si>
    <t>-</t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</si>
  <si>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</si>
  <si>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</si>
  <si>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</si>
  <si>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</si>
  <si>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</si>
  <si>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</si>
  <si>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服</t>
    <rPh sb="0" eb="1">
      <t>フク</t>
    </rPh>
    <phoneticPr fontId="2"/>
  </si>
  <si>
    <t>りょう</t>
    <phoneticPr fontId="2"/>
  </si>
  <si>
    <t>筆箱</t>
    <rPh sb="0" eb="2">
      <t>フデバコ</t>
    </rPh>
    <phoneticPr fontId="2"/>
  </si>
  <si>
    <t>ONE BY KOSE メラノショット65ml</t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</si>
  <si>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</si>
  <si>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</si>
  <si>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750kWh</t>
    <phoneticPr fontId="2"/>
  </si>
  <si>
    <t>学費</t>
    <rPh sb="0" eb="2">
      <t>ガクヒ</t>
    </rPh>
    <phoneticPr fontId="2"/>
  </si>
  <si>
    <t>リコーダー</t>
    <phoneticPr fontId="2"/>
  </si>
  <si>
    <t>医療費</t>
    <rPh sb="0" eb="3">
      <t>イリョウヒ</t>
    </rPh>
    <phoneticPr fontId="2"/>
  </si>
  <si>
    <t>-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</si>
  <si>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</si>
  <si>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</si>
  <si>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</si>
  <si>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</si>
  <si>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</si>
  <si>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スリー　ルースパウダー 10g</t>
  </si>
  <si>
    <t>セブンおやつ</t>
    <phoneticPr fontId="2"/>
  </si>
  <si>
    <t>サイゼリヤ</t>
    <phoneticPr fontId="2"/>
  </si>
  <si>
    <t>美容室</t>
    <rPh sb="0" eb="3">
      <t>ビヨウシツ</t>
    </rPh>
    <phoneticPr fontId="2"/>
  </si>
  <si>
    <t>りょう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</si>
  <si>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</si>
  <si>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</si>
  <si>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家賃</t>
    <rPh sb="0" eb="2">
      <t>ヤチン</t>
    </rPh>
    <phoneticPr fontId="2"/>
  </si>
  <si>
    <t>-</t>
    <phoneticPr fontId="2"/>
  </si>
  <si>
    <t>ゆっこ</t>
    <phoneticPr fontId="2"/>
  </si>
  <si>
    <t>りょう</t>
    <phoneticPr fontId="2"/>
  </si>
  <si>
    <t>スシロー</t>
    <phoneticPr fontId="2"/>
  </si>
  <si>
    <t>化粧品</t>
    <rPh sb="0" eb="3">
      <t>ケショウヒン</t>
    </rPh>
    <phoneticPr fontId="2"/>
  </si>
  <si>
    <t>-</t>
    <phoneticPr fontId="2"/>
  </si>
  <si>
    <t>アイライン</t>
    <phoneticPr fontId="2"/>
  </si>
  <si>
    <t>防災頭巾入れ</t>
    <rPh sb="0" eb="5">
      <t>ボウサイズキンイ</t>
    </rPh>
    <phoneticPr fontId="2"/>
  </si>
  <si>
    <t>祝い事</t>
    <rPh sb="0" eb="1">
      <t>イワ</t>
    </rPh>
    <rPh sb="2" eb="3">
      <t>ゴト</t>
    </rPh>
    <phoneticPr fontId="2"/>
  </si>
  <si>
    <t>ゆっこ</t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</si>
  <si>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</si>
  <si>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</si>
  <si>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</si>
  <si>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</si>
  <si>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</si>
  <si>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その他</t>
    <rPh sb="2" eb="3">
      <t>タ</t>
    </rPh>
    <phoneticPr fontId="2"/>
  </si>
  <si>
    <t>学費</t>
    <rPh sb="0" eb="2">
      <t>ガクヒ</t>
    </rPh>
    <phoneticPr fontId="2"/>
  </si>
  <si>
    <t>実績</t>
    <rPh sb="0" eb="2">
      <t>ジッセキ</t>
    </rPh>
    <phoneticPr fontId="2"/>
  </si>
  <si>
    <t>給食費</t>
    <rPh sb="0" eb="3">
      <t>キュウショクヒ</t>
    </rPh>
    <phoneticPr fontId="2"/>
  </si>
  <si>
    <t>りょう父誕生日</t>
    <rPh sb="3" eb="4">
      <t>チチ</t>
    </rPh>
    <rPh sb="4" eb="7">
      <t>タンジョウビ</t>
    </rPh>
    <phoneticPr fontId="2"/>
  </si>
  <si>
    <t>その他</t>
    <rPh sb="2" eb="3">
      <t>タ</t>
    </rPh>
    <phoneticPr fontId="2"/>
  </si>
  <si>
    <t>レオタード</t>
    <phoneticPr fontId="2"/>
  </si>
  <si>
    <t>ひなまつり和菓子</t>
    <rPh sb="5" eb="8">
      <t>ワガシ</t>
    </rPh>
    <phoneticPr fontId="2"/>
  </si>
  <si>
    <t>外食</t>
    <rPh sb="0" eb="2">
      <t>ガイショク</t>
    </rPh>
    <phoneticPr fontId="2"/>
  </si>
  <si>
    <t>リップライナー</t>
    <phoneticPr fontId="2"/>
  </si>
  <si>
    <t>薬(フルコート)</t>
    <rPh sb="0" eb="1">
      <t>クスリ</t>
    </rPh>
    <phoneticPr fontId="2"/>
  </si>
  <si>
    <t>医療費</t>
    <rPh sb="0" eb="3">
      <t>イリョウヒ</t>
    </rPh>
    <phoneticPr fontId="2"/>
  </si>
  <si>
    <t>-</t>
    <phoneticPr fontId="2"/>
  </si>
  <si>
    <t>ゆっこ</t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</si>
  <si>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</si>
  <si>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</si>
  <si>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</si>
  <si>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</si>
  <si>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</si>
  <si>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</si>
  <si>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</si>
  <si>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</si>
  <si>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服</t>
    <rPh sb="0" eb="1">
      <t>フク</t>
    </rPh>
    <phoneticPr fontId="2"/>
  </si>
  <si>
    <t>りょう</t>
    <phoneticPr fontId="2"/>
  </si>
  <si>
    <t>携帯ストラップ</t>
    <rPh sb="0" eb="2">
      <t>ケイタイ</t>
    </rPh>
    <phoneticPr fontId="2"/>
  </si>
  <si>
    <t>ATTACHMENTレザー</t>
    <phoneticPr fontId="2"/>
  </si>
  <si>
    <t>電気</t>
    <rPh sb="0" eb="2">
      <t>デンキ</t>
    </rPh>
    <phoneticPr fontId="2"/>
  </si>
  <si>
    <t>ガスと</t>
    <phoneticPr fontId="2"/>
  </si>
  <si>
    <t>医療費</t>
    <rPh sb="0" eb="3">
      <t>イリョウヒ</t>
    </rPh>
    <phoneticPr fontId="2"/>
  </si>
  <si>
    <t>-</t>
    <phoneticPr fontId="2"/>
  </si>
  <si>
    <t>ゆっこ整形外科</t>
    <rPh sb="3" eb="7">
      <t>セイケイゲカ</t>
    </rPh>
    <phoneticPr fontId="2"/>
  </si>
  <si>
    <t>ゆっこ耳鼻科</t>
    <rPh sb="3" eb="6">
      <t>ジビカ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</si>
  <si>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</si>
  <si>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</si>
  <si>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ことは靴下x2</t>
    <rPh sb="3" eb="5">
      <t>クツシタ</t>
    </rPh>
    <phoneticPr fontId="2"/>
  </si>
  <si>
    <t>学費</t>
    <rPh sb="0" eb="2">
      <t>ガクヒ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</si>
  <si>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</si>
  <si>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</si>
  <si>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</si>
  <si>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</si>
  <si>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</si>
  <si>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</si>
  <si>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</si>
  <si>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</si>
  <si>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</si>
  <si>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</si>
  <si>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</si>
  <si>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</si>
  <si>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</si>
  <si>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</si>
  <si>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</si>
  <si>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</si>
  <si>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</si>
  <si>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</si>
  <si>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学費</t>
    <rPh sb="0" eb="2">
      <t>ガクヒ</t>
    </rPh>
    <phoneticPr fontId="2"/>
  </si>
  <si>
    <t>実績</t>
    <rPh sb="0" eb="2">
      <t>ジッセキ</t>
    </rPh>
    <phoneticPr fontId="2"/>
  </si>
  <si>
    <t>仮</t>
    <rPh sb="0" eb="1">
      <t>カリ</t>
    </rPh>
    <phoneticPr fontId="2"/>
  </si>
  <si>
    <t>生活費</t>
    <rPh sb="0" eb="3">
      <t>セイカツヒ</t>
    </rPh>
    <phoneticPr fontId="2"/>
  </si>
  <si>
    <t>-</t>
    <phoneticPr fontId="2"/>
  </si>
  <si>
    <t>ガス</t>
    <phoneticPr fontId="2"/>
  </si>
  <si>
    <t>その他</t>
    <rPh sb="2" eb="3">
      <t>タ</t>
    </rPh>
    <phoneticPr fontId="2"/>
  </si>
  <si>
    <t>外食</t>
    <rPh sb="0" eb="2">
      <t>ガイショク</t>
    </rPh>
    <phoneticPr fontId="2"/>
  </si>
  <si>
    <t>高速代を6000円で計算。差額は後で調整。</t>
    <rPh sb="0" eb="3">
      <t>コウソクダイ</t>
    </rPh>
    <rPh sb="8" eb="9">
      <t>エン</t>
    </rPh>
    <rPh sb="10" eb="12">
      <t>ケイサン</t>
    </rPh>
    <rPh sb="13" eb="15">
      <t>サガク</t>
    </rPh>
    <rPh sb="16" eb="17">
      <t>アト</t>
    </rPh>
    <rPh sb="18" eb="20">
      <t>チョウセイ</t>
    </rPh>
    <phoneticPr fontId="2"/>
  </si>
  <si>
    <t>生活費</t>
    <rPh sb="0" eb="3">
      <t>セイカツヒ</t>
    </rPh>
    <phoneticPr fontId="2"/>
  </si>
  <si>
    <t>UQ</t>
    <phoneticPr fontId="2"/>
  </si>
  <si>
    <t>楽天</t>
    <rPh sb="0" eb="2">
      <t>ラクテン</t>
    </rPh>
    <phoneticPr fontId="2"/>
  </si>
  <si>
    <t>学費</t>
    <rPh sb="0" eb="2">
      <t>ガクヒ</t>
    </rPh>
    <phoneticPr fontId="2"/>
  </si>
  <si>
    <t>名前シール</t>
    <rPh sb="0" eb="2">
      <t>ナマエ</t>
    </rPh>
    <phoneticPr fontId="2"/>
  </si>
  <si>
    <t>その他</t>
    <rPh sb="2" eb="3">
      <t>タ</t>
    </rPh>
    <phoneticPr fontId="2"/>
  </si>
  <si>
    <t>通勤定期</t>
    <rPh sb="0" eb="4">
      <t>ツウキンテイキ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</si>
  <si>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</si>
  <si>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</si>
  <si>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医療費</t>
    <rPh sb="0" eb="3">
      <t>イリョウヒ</t>
    </rPh>
    <phoneticPr fontId="2"/>
  </si>
  <si>
    <t>-</t>
    <phoneticPr fontId="2"/>
  </si>
  <si>
    <t>ゆっこ耳鼻科</t>
    <rPh sb="3" eb="6">
      <t>ジビカ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</si>
  <si>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</si>
  <si>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</si>
  <si>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</si>
  <si>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</si>
  <si>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</si>
  <si>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</si>
  <si>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耳鼻科</t>
    <rPh sb="0" eb="3">
      <t>ジビカ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</si>
  <si>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</si>
  <si>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</si>
  <si>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実績</t>
    <rPh sb="0" eb="2">
      <t>ジッセキ</t>
    </rPh>
    <phoneticPr fontId="2"/>
  </si>
  <si>
    <t>南流山パン屋</t>
    <rPh sb="0" eb="3">
      <t>ミナミナガレヤマ</t>
    </rPh>
    <rPh sb="5" eb="6">
      <t>ヤ</t>
    </rPh>
    <phoneticPr fontId="2"/>
  </si>
  <si>
    <t>習い事</t>
    <rPh sb="0" eb="1">
      <t>ナラ</t>
    </rPh>
    <rPh sb="2" eb="3">
      <t>ゴト</t>
    </rPh>
    <phoneticPr fontId="2"/>
  </si>
  <si>
    <t>バレエ</t>
    <phoneticPr fontId="2"/>
  </si>
  <si>
    <t>発表会の写真</t>
    <rPh sb="0" eb="3">
      <t>ハッピョウカイ</t>
    </rPh>
    <rPh sb="4" eb="6">
      <t>シャシン</t>
    </rPh>
    <phoneticPr fontId="2"/>
  </si>
  <si>
    <t>化粧品</t>
    <rPh sb="0" eb="3">
      <t>ケショウヒン</t>
    </rPh>
    <phoneticPr fontId="2"/>
  </si>
  <si>
    <t>-</t>
    <phoneticPr fontId="2"/>
  </si>
  <si>
    <t>クレンジング</t>
    <phoneticPr fontId="2"/>
  </si>
  <si>
    <t>学費</t>
    <rPh sb="0" eb="2">
      <t>ガクヒ</t>
    </rPh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</si>
  <si>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</si>
  <si>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</si>
  <si>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学費</t>
    <rPh sb="0" eb="2">
      <t>ガクヒ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</si>
  <si>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</si>
  <si>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</si>
  <si>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りょう</t>
    <phoneticPr fontId="2"/>
  </si>
  <si>
    <t>ユニクロ　長袖Tシャツ</t>
    <rPh sb="5" eb="7">
      <t>ナガソデ</t>
    </rPh>
    <phoneticPr fontId="2"/>
  </si>
  <si>
    <t>外食</t>
    <rPh sb="0" eb="2">
      <t>ガイショク</t>
    </rPh>
    <phoneticPr fontId="2"/>
  </si>
  <si>
    <t>朝マック</t>
    <rPh sb="0" eb="1">
      <t>アサ</t>
    </rPh>
    <phoneticPr fontId="2"/>
  </si>
  <si>
    <t>mini one</t>
    <phoneticPr fontId="2"/>
  </si>
  <si>
    <t>子供</t>
    <rPh sb="0" eb="2">
      <t>コドモ</t>
    </rPh>
    <phoneticPr fontId="2"/>
  </si>
  <si>
    <t>ゆっこ</t>
    <phoneticPr fontId="2"/>
  </si>
  <si>
    <t>しまむら　パンツ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</si>
</sst>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658"/>
  <sheetViews>
    <sheetView showGridLines="0" tabSelected="1" zoomScale="85" zoomScaleNormal="85" workbookViewId="0">
      <pane xSplit="1" ySplit="1" topLeftCell="B528" activePane="bottomRight" state="frozen"/>
      <selection pane="topRight" activeCell="B1" sqref="B1"/>
      <selection pane="bottomLeft" activeCell="A3" sqref="A3"/>
      <selection pane="bottomRight" activeCell="A534" sqref="A534:H541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36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36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36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36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36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36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36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36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36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36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36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120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36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36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36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36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36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36</v>
      </c>
      <c r="E18" s="5">
        <f t="shared" si="0"/>
        <v>5</v>
      </c>
      <c r="F18" s="5" t="str">
        <f t="shared" si="1"/>
        <v>生活費-5予算</v>
      </c>
      <c r="G18" s="6">
        <v>120000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36</v>
      </c>
      <c r="E19" s="5">
        <f t="shared" si="0"/>
        <v>6</v>
      </c>
      <c r="F19" s="5" t="str">
        <f t="shared" si="1"/>
        <v>生活費-6予算</v>
      </c>
      <c r="G19" s="6">
        <v>120000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36</v>
      </c>
      <c r="E20" s="5">
        <f t="shared" si="0"/>
        <v>7</v>
      </c>
      <c r="F20" s="5" t="str">
        <f t="shared" si="1"/>
        <v>生活費-7予算</v>
      </c>
      <c r="G20" s="6">
        <v>120000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36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36</v>
      </c>
      <c r="E22" s="5">
        <f t="shared" si="0"/>
        <v>9</v>
      </c>
      <c r="F22" s="5" t="str">
        <f t="shared" si="1"/>
        <v>生活費-9予算</v>
      </c>
      <c r="G22" s="6">
        <v>120000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36</v>
      </c>
      <c r="E23" s="5">
        <f t="shared" si="0"/>
        <v>10</v>
      </c>
      <c r="F23" s="5" t="str">
        <f t="shared" si="1"/>
        <v>生活費-10予算</v>
      </c>
      <c r="G23" s="6">
        <v>120000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36</v>
      </c>
      <c r="E24" s="5">
        <f t="shared" si="0"/>
        <v>11</v>
      </c>
      <c r="F24" s="5" t="str">
        <f t="shared" si="1"/>
        <v>生活費-11予算</v>
      </c>
      <c r="G24" s="6">
        <v>120000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36</v>
      </c>
      <c r="E25" s="5">
        <f t="shared" si="0"/>
        <v>12</v>
      </c>
      <c r="F25" s="5" t="str">
        <f t="shared" si="1"/>
        <v>生活費-12予算</v>
      </c>
      <c r="G25" s="6">
        <v>120000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38</v>
      </c>
      <c r="D26" s="5" t="s">
        <v>36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38</v>
      </c>
      <c r="D27" s="5" t="s">
        <v>36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38</v>
      </c>
      <c r="D28" s="5" t="s">
        <v>36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38</v>
      </c>
      <c r="D29" s="5" t="s">
        <v>36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38</v>
      </c>
      <c r="D30" s="5" t="s">
        <v>36</v>
      </c>
      <c r="E30" s="5">
        <f t="shared" si="0"/>
        <v>5</v>
      </c>
      <c r="F30" s="5" t="str">
        <f t="shared" si="1"/>
        <v>生活費外食5予算</v>
      </c>
      <c r="G30" s="6">
        <v>15000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38</v>
      </c>
      <c r="D31" s="5" t="s">
        <v>36</v>
      </c>
      <c r="E31" s="5">
        <f t="shared" si="0"/>
        <v>6</v>
      </c>
      <c r="F31" s="5" t="str">
        <f t="shared" si="1"/>
        <v>生活費外食6予算</v>
      </c>
      <c r="G31" s="6">
        <v>15000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38</v>
      </c>
      <c r="D32" s="5" t="s">
        <v>36</v>
      </c>
      <c r="E32" s="5">
        <f t="shared" si="0"/>
        <v>7</v>
      </c>
      <c r="F32" s="5" t="str">
        <f t="shared" si="1"/>
        <v>生活費外食7予算</v>
      </c>
      <c r="G32" s="6">
        <v>15000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38</v>
      </c>
      <c r="D33" s="5" t="s">
        <v>36</v>
      </c>
      <c r="E33" s="5">
        <f t="shared" si="0"/>
        <v>8</v>
      </c>
      <c r="F33" s="5" t="str">
        <f t="shared" si="1"/>
        <v>生活費外食8予算</v>
      </c>
      <c r="G33" s="6">
        <v>10000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38</v>
      </c>
      <c r="D34" s="5" t="s">
        <v>36</v>
      </c>
      <c r="E34" s="5">
        <f t="shared" si="0"/>
        <v>9</v>
      </c>
      <c r="F34" s="5" t="str">
        <f t="shared" si="1"/>
        <v>生活費外食9予算</v>
      </c>
      <c r="G34" s="6">
        <v>15000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38</v>
      </c>
      <c r="D35" s="5" t="s">
        <v>36</v>
      </c>
      <c r="E35" s="5">
        <f t="shared" si="0"/>
        <v>10</v>
      </c>
      <c r="F35" s="5" t="str">
        <f t="shared" si="1"/>
        <v>生活費外食10予算</v>
      </c>
      <c r="G35" s="6">
        <v>15000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38</v>
      </c>
      <c r="D36" s="5" t="s">
        <v>36</v>
      </c>
      <c r="E36" s="5">
        <f t="shared" si="0"/>
        <v>11</v>
      </c>
      <c r="F36" s="5" t="str">
        <f t="shared" si="1"/>
        <v>生活費外食11予算</v>
      </c>
      <c r="G36" s="6">
        <v>15000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38</v>
      </c>
      <c r="D37" s="5" t="s">
        <v>36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39</v>
      </c>
      <c r="C38" s="5" t="s">
        <v>40</v>
      </c>
      <c r="D38" s="5" t="s">
        <v>36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39</v>
      </c>
      <c r="C39" s="5" t="s">
        <v>40</v>
      </c>
      <c r="D39" s="5" t="s">
        <v>36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39</v>
      </c>
      <c r="C40" s="5" t="s">
        <v>40</v>
      </c>
      <c r="D40" s="5" t="s">
        <v>36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39</v>
      </c>
      <c r="C41" s="5" t="s">
        <v>40</v>
      </c>
      <c r="D41" s="5" t="s">
        <v>36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39</v>
      </c>
      <c r="C42" s="5" t="s">
        <v>40</v>
      </c>
      <c r="D42" s="5" t="s">
        <v>36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39</v>
      </c>
      <c r="C43" s="5" t="s">
        <v>40</v>
      </c>
      <c r="D43" s="5" t="s">
        <v>36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39</v>
      </c>
      <c r="C44" s="5" t="s">
        <v>40</v>
      </c>
      <c r="D44" s="5" t="s">
        <v>36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39</v>
      </c>
      <c r="C45" s="5" t="s">
        <v>40</v>
      </c>
      <c r="D45" s="5" t="s">
        <v>36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39</v>
      </c>
      <c r="C46" s="5" t="s">
        <v>40</v>
      </c>
      <c r="D46" s="5" t="s">
        <v>36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39</v>
      </c>
      <c r="C47" s="5" t="s">
        <v>40</v>
      </c>
      <c r="D47" s="5" t="s">
        <v>36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39</v>
      </c>
      <c r="C48" s="5" t="s">
        <v>40</v>
      </c>
      <c r="D48" s="5" t="s">
        <v>36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39</v>
      </c>
      <c r="C49" s="5" t="s">
        <v>40</v>
      </c>
      <c r="D49" s="5" t="s">
        <v>36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39</v>
      </c>
      <c r="C50" s="5" t="s">
        <v>41</v>
      </c>
      <c r="D50" s="5" t="s">
        <v>36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39</v>
      </c>
      <c r="C51" s="5" t="s">
        <v>41</v>
      </c>
      <c r="D51" s="5" t="s">
        <v>36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39</v>
      </c>
      <c r="C52" s="5" t="s">
        <v>41</v>
      </c>
      <c r="D52" s="5" t="s">
        <v>36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39</v>
      </c>
      <c r="C53" s="5" t="s">
        <v>41</v>
      </c>
      <c r="D53" s="5" t="s">
        <v>36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39</v>
      </c>
      <c r="C54" s="5" t="s">
        <v>41</v>
      </c>
      <c r="D54" s="5" t="s">
        <v>36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39</v>
      </c>
      <c r="C55" s="5" t="s">
        <v>41</v>
      </c>
      <c r="D55" s="5" t="s">
        <v>36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39</v>
      </c>
      <c r="C56" s="5" t="s">
        <v>41</v>
      </c>
      <c r="D56" s="5" t="s">
        <v>36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39</v>
      </c>
      <c r="C57" s="5" t="s">
        <v>41</v>
      </c>
      <c r="D57" s="5" t="s">
        <v>36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39</v>
      </c>
      <c r="C58" s="5" t="s">
        <v>41</v>
      </c>
      <c r="D58" s="5" t="s">
        <v>36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39</v>
      </c>
      <c r="C59" s="5" t="s">
        <v>41</v>
      </c>
      <c r="D59" s="5" t="s">
        <v>36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39</v>
      </c>
      <c r="C60" s="5" t="s">
        <v>41</v>
      </c>
      <c r="D60" s="5" t="s">
        <v>36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39</v>
      </c>
      <c r="C61" s="5" t="s">
        <v>41</v>
      </c>
      <c r="D61" s="5" t="s">
        <v>36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39</v>
      </c>
      <c r="C62" s="5" t="s">
        <v>43</v>
      </c>
      <c r="D62" s="5" t="s">
        <v>36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39</v>
      </c>
      <c r="C63" s="5" t="s">
        <v>43</v>
      </c>
      <c r="D63" s="5" t="s">
        <v>36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39</v>
      </c>
      <c r="C64" s="5" t="s">
        <v>43</v>
      </c>
      <c r="D64" s="5" t="s">
        <v>36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39</v>
      </c>
      <c r="C65" s="5" t="s">
        <v>43</v>
      </c>
      <c r="D65" s="5" t="s">
        <v>36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39</v>
      </c>
      <c r="C66" s="5" t="s">
        <v>43</v>
      </c>
      <c r="D66" s="5" t="s">
        <v>36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39</v>
      </c>
      <c r="C67" s="5" t="s">
        <v>43</v>
      </c>
      <c r="D67" s="5" t="s">
        <v>36</v>
      </c>
      <c r="E67" s="5">
        <f t="shared" ref="E67:E113" si="2">MONTH(A67)</f>
        <v>6</v>
      </c>
      <c r="F67" s="5" t="str">
        <f t="shared" ref="F67:F121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39</v>
      </c>
      <c r="C68" s="5" t="s">
        <v>43</v>
      </c>
      <c r="D68" s="5" t="s">
        <v>36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39</v>
      </c>
      <c r="C69" s="5" t="s">
        <v>43</v>
      </c>
      <c r="D69" s="5" t="s">
        <v>36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39</v>
      </c>
      <c r="C70" s="5" t="s">
        <v>43</v>
      </c>
      <c r="D70" s="5" t="s">
        <v>36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39</v>
      </c>
      <c r="C71" s="5" t="s">
        <v>43</v>
      </c>
      <c r="D71" s="5" t="s">
        <v>36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39</v>
      </c>
      <c r="C72" s="5" t="s">
        <v>43</v>
      </c>
      <c r="D72" s="5" t="s">
        <v>36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39</v>
      </c>
      <c r="C73" s="5" t="s">
        <v>43</v>
      </c>
      <c r="D73" s="5" t="s">
        <v>36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44</v>
      </c>
      <c r="C74" s="5" t="s">
        <v>65</v>
      </c>
      <c r="D74" s="5" t="s">
        <v>36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44</v>
      </c>
      <c r="C75" s="5" t="s">
        <v>65</v>
      </c>
      <c r="D75" s="5" t="s">
        <v>36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44</v>
      </c>
      <c r="C76" s="5" t="s">
        <v>65</v>
      </c>
      <c r="D76" s="5" t="s">
        <v>36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44</v>
      </c>
      <c r="C77" s="5" t="s">
        <v>65</v>
      </c>
      <c r="D77" s="5" t="s">
        <v>36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44</v>
      </c>
      <c r="C78" s="5" t="s">
        <v>65</v>
      </c>
      <c r="D78" s="5" t="s">
        <v>36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44</v>
      </c>
      <c r="C79" s="5" t="s">
        <v>65</v>
      </c>
      <c r="D79" s="5" t="s">
        <v>36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44</v>
      </c>
      <c r="C80" s="5" t="s">
        <v>65</v>
      </c>
      <c r="D80" s="5" t="s">
        <v>36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44</v>
      </c>
      <c r="C81" s="5" t="s">
        <v>65</v>
      </c>
      <c r="D81" s="5" t="s">
        <v>36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44</v>
      </c>
      <c r="C82" s="5" t="s">
        <v>65</v>
      </c>
      <c r="D82" s="5" t="s">
        <v>36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44</v>
      </c>
      <c r="C83" s="5" t="s">
        <v>65</v>
      </c>
      <c r="D83" s="5" t="s">
        <v>36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44</v>
      </c>
      <c r="C84" s="5" t="s">
        <v>65</v>
      </c>
      <c r="D84" s="5" t="s">
        <v>36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44</v>
      </c>
      <c r="C85" s="5" t="s">
        <v>65</v>
      </c>
      <c r="D85" s="5" t="s">
        <v>36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44</v>
      </c>
      <c r="C86" s="5" t="s">
        <v>66</v>
      </c>
      <c r="D86" s="5" t="s">
        <v>36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44</v>
      </c>
      <c r="C87" s="5" t="s">
        <v>66</v>
      </c>
      <c r="D87" s="5" t="s">
        <v>36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44</v>
      </c>
      <c r="C88" s="5" t="s">
        <v>66</v>
      </c>
      <c r="D88" s="5" t="s">
        <v>36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44</v>
      </c>
      <c r="C89" s="5" t="s">
        <v>66</v>
      </c>
      <c r="D89" s="5" t="s">
        <v>36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44</v>
      </c>
      <c r="C90" s="5" t="s">
        <v>66</v>
      </c>
      <c r="D90" s="5" t="s">
        <v>36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44</v>
      </c>
      <c r="C91" s="5" t="s">
        <v>66</v>
      </c>
      <c r="D91" s="5" t="s">
        <v>36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44</v>
      </c>
      <c r="C92" s="5" t="s">
        <v>66</v>
      </c>
      <c r="D92" s="5" t="s">
        <v>36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44</v>
      </c>
      <c r="C93" s="5" t="s">
        <v>66</v>
      </c>
      <c r="D93" s="5" t="s">
        <v>36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44</v>
      </c>
      <c r="C94" s="5" t="s">
        <v>66</v>
      </c>
      <c r="D94" s="5" t="s">
        <v>36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44</v>
      </c>
      <c r="C95" s="5" t="s">
        <v>66</v>
      </c>
      <c r="D95" s="5" t="s">
        <v>36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44</v>
      </c>
      <c r="C96" s="5" t="s">
        <v>66</v>
      </c>
      <c r="D96" s="5" t="s">
        <v>36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44</v>
      </c>
      <c r="C97" s="5" t="s">
        <v>66</v>
      </c>
      <c r="D97" s="5" t="s">
        <v>36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44</v>
      </c>
      <c r="C98" s="5" t="s">
        <v>45</v>
      </c>
      <c r="D98" s="5" t="s">
        <v>36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44</v>
      </c>
      <c r="C99" s="5" t="s">
        <v>45</v>
      </c>
      <c r="D99" s="5" t="s">
        <v>36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44</v>
      </c>
      <c r="C100" s="5" t="s">
        <v>45</v>
      </c>
      <c r="D100" s="5" t="s">
        <v>36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36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36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36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36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36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36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36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36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36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36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36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36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36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53</v>
      </c>
      <c r="C114" s="5" t="s">
        <v>54</v>
      </c>
      <c r="D114" s="5" t="s">
        <v>36</v>
      </c>
      <c r="E114" s="5">
        <f t="shared" ref="E114:E182" si="4">MONTH(A114)</f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53</v>
      </c>
      <c r="C115" s="5" t="s">
        <v>54</v>
      </c>
      <c r="D115" s="5" t="s">
        <v>36</v>
      </c>
      <c r="E115" s="5">
        <f t="shared" si="4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53</v>
      </c>
      <c r="C116" s="5" t="s">
        <v>54</v>
      </c>
      <c r="D116" s="5" t="s">
        <v>36</v>
      </c>
      <c r="E116" s="5">
        <f t="shared" si="4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53</v>
      </c>
      <c r="C117" s="5" t="s">
        <v>54</v>
      </c>
      <c r="D117" s="5" t="s">
        <v>36</v>
      </c>
      <c r="E117" s="5">
        <f t="shared" si="4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53</v>
      </c>
      <c r="C118" s="5" t="s">
        <v>54</v>
      </c>
      <c r="D118" s="5" t="s">
        <v>36</v>
      </c>
      <c r="E118" s="5">
        <f t="shared" si="4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53</v>
      </c>
      <c r="C119" s="5" t="s">
        <v>54</v>
      </c>
      <c r="D119" s="5" t="s">
        <v>36</v>
      </c>
      <c r="E119" s="5">
        <f t="shared" si="4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53</v>
      </c>
      <c r="C120" s="5" t="s">
        <v>54</v>
      </c>
      <c r="D120" s="5" t="s">
        <v>36</v>
      </c>
      <c r="E120" s="5">
        <f t="shared" si="4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53</v>
      </c>
      <c r="C121" s="5" t="s">
        <v>54</v>
      </c>
      <c r="D121" s="5" t="s">
        <v>36</v>
      </c>
      <c r="E121" s="5">
        <f t="shared" si="4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53</v>
      </c>
      <c r="C122" s="5" t="s">
        <v>54</v>
      </c>
      <c r="D122" s="5" t="s">
        <v>36</v>
      </c>
      <c r="E122" s="5">
        <f t="shared" si="4"/>
        <v>9</v>
      </c>
      <c r="F122" s="5" t="str">
        <f t="shared" ref="F122:F194" si="5">B122&amp;C122&amp;E122&amp;D122</f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53</v>
      </c>
      <c r="C123" s="5" t="s">
        <v>54</v>
      </c>
      <c r="D123" s="5" t="s">
        <v>36</v>
      </c>
      <c r="E123" s="5">
        <f t="shared" si="4"/>
        <v>10</v>
      </c>
      <c r="F123" s="5" t="str">
        <f t="shared" si="5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53</v>
      </c>
      <c r="C124" s="5" t="s">
        <v>54</v>
      </c>
      <c r="D124" s="5" t="s">
        <v>36</v>
      </c>
      <c r="E124" s="5">
        <f t="shared" si="4"/>
        <v>11</v>
      </c>
      <c r="F124" s="5" t="str">
        <f t="shared" si="5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53</v>
      </c>
      <c r="C125" s="5" t="s">
        <v>54</v>
      </c>
      <c r="D125" s="5" t="s">
        <v>36</v>
      </c>
      <c r="E125" s="5">
        <f t="shared" si="4"/>
        <v>12</v>
      </c>
      <c r="F125" s="5" t="str">
        <f t="shared" si="5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53</v>
      </c>
      <c r="C126" s="5" t="s">
        <v>55</v>
      </c>
      <c r="D126" s="5" t="s">
        <v>36</v>
      </c>
      <c r="E126" s="5">
        <f t="shared" si="4"/>
        <v>1</v>
      </c>
      <c r="F126" s="5" t="str">
        <f t="shared" si="5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53</v>
      </c>
      <c r="C127" s="5" t="s">
        <v>55</v>
      </c>
      <c r="D127" s="5" t="s">
        <v>36</v>
      </c>
      <c r="E127" s="5">
        <f t="shared" si="4"/>
        <v>2</v>
      </c>
      <c r="F127" s="5" t="str">
        <f t="shared" si="5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53</v>
      </c>
      <c r="C128" s="5" t="s">
        <v>55</v>
      </c>
      <c r="D128" s="5" t="s">
        <v>36</v>
      </c>
      <c r="E128" s="5">
        <f t="shared" si="4"/>
        <v>3</v>
      </c>
      <c r="F128" s="5" t="str">
        <f t="shared" si="5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53</v>
      </c>
      <c r="C129" s="5" t="s">
        <v>55</v>
      </c>
      <c r="D129" s="5" t="s">
        <v>36</v>
      </c>
      <c r="E129" s="5">
        <f t="shared" si="4"/>
        <v>4</v>
      </c>
      <c r="F129" s="5" t="str">
        <f t="shared" si="5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53</v>
      </c>
      <c r="C130" s="5" t="s">
        <v>55</v>
      </c>
      <c r="D130" s="5" t="s">
        <v>36</v>
      </c>
      <c r="E130" s="5">
        <f t="shared" si="4"/>
        <v>5</v>
      </c>
      <c r="F130" s="5" t="str">
        <f t="shared" si="5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53</v>
      </c>
      <c r="C131" s="5" t="s">
        <v>55</v>
      </c>
      <c r="D131" s="5" t="s">
        <v>36</v>
      </c>
      <c r="E131" s="5">
        <f t="shared" si="4"/>
        <v>6</v>
      </c>
      <c r="F131" s="5" t="str">
        <f t="shared" si="5"/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53</v>
      </c>
      <c r="C132" s="5" t="s">
        <v>55</v>
      </c>
      <c r="D132" s="5" t="s">
        <v>36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53</v>
      </c>
      <c r="C133" s="5" t="s">
        <v>55</v>
      </c>
      <c r="D133" s="5" t="s">
        <v>36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53</v>
      </c>
      <c r="C134" s="5" t="s">
        <v>55</v>
      </c>
      <c r="D134" s="5" t="s">
        <v>36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53</v>
      </c>
      <c r="C135" s="5" t="s">
        <v>55</v>
      </c>
      <c r="D135" s="5" t="s">
        <v>36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53</v>
      </c>
      <c r="C136" s="5" t="s">
        <v>55</v>
      </c>
      <c r="D136" s="5" t="s">
        <v>36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53</v>
      </c>
      <c r="C137" s="5" t="s">
        <v>55</v>
      </c>
      <c r="D137" s="5" t="s">
        <v>36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120</v>
      </c>
      <c r="D138" s="5" t="s">
        <v>18</v>
      </c>
      <c r="E138" s="5">
        <f t="shared" ref="E138:E146" si="6">MONTH(A138)</f>
        <v>4</v>
      </c>
      <c r="F138" s="5" t="str">
        <f t="shared" ref="F138:F146" si="7">B138&amp;C138&amp;E138&amp;D138</f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120</v>
      </c>
      <c r="D139" s="5" t="s">
        <v>18</v>
      </c>
      <c r="E139" s="5">
        <f t="shared" si="6"/>
        <v>5</v>
      </c>
      <c r="F139" s="5" t="str">
        <f t="shared" si="7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120</v>
      </c>
      <c r="D140" s="5" t="s">
        <v>18</v>
      </c>
      <c r="E140" s="5">
        <f t="shared" si="6"/>
        <v>6</v>
      </c>
      <c r="F140" s="5" t="str">
        <f t="shared" si="7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120</v>
      </c>
      <c r="D141" s="5" t="s">
        <v>18</v>
      </c>
      <c r="E141" s="5">
        <f t="shared" si="6"/>
        <v>7</v>
      </c>
      <c r="F141" s="5" t="str">
        <f t="shared" si="7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120</v>
      </c>
      <c r="D142" s="5" t="s">
        <v>18</v>
      </c>
      <c r="E142" s="5">
        <f t="shared" si="6"/>
        <v>8</v>
      </c>
      <c r="F142" s="5" t="str">
        <f t="shared" si="7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120</v>
      </c>
      <c r="D143" s="5" t="s">
        <v>18</v>
      </c>
      <c r="E143" s="5">
        <f t="shared" si="6"/>
        <v>9</v>
      </c>
      <c r="F143" s="5" t="str">
        <f t="shared" si="7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120</v>
      </c>
      <c r="D144" s="5" t="s">
        <v>18</v>
      </c>
      <c r="E144" s="5">
        <f t="shared" si="6"/>
        <v>10</v>
      </c>
      <c r="F144" s="5" t="str">
        <f t="shared" si="7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120</v>
      </c>
      <c r="D145" s="5" t="s">
        <v>18</v>
      </c>
      <c r="E145" s="5">
        <f t="shared" si="6"/>
        <v>11</v>
      </c>
      <c r="F145" s="5" t="str">
        <f t="shared" si="7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120</v>
      </c>
      <c r="D146" s="5" t="s">
        <v>18</v>
      </c>
      <c r="E146" s="5">
        <f t="shared" si="6"/>
        <v>12</v>
      </c>
      <c r="F146" s="5" t="str">
        <f t="shared" si="7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53</v>
      </c>
      <c r="C147" s="5" t="s">
        <v>57</v>
      </c>
      <c r="D147" s="5" t="s">
        <v>36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53</v>
      </c>
      <c r="C148" s="5" t="s">
        <v>57</v>
      </c>
      <c r="D148" s="5" t="s">
        <v>36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53</v>
      </c>
      <c r="C149" s="5" t="s">
        <v>57</v>
      </c>
      <c r="D149" s="5" t="s">
        <v>36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53</v>
      </c>
      <c r="C150" s="5" t="s">
        <v>57</v>
      </c>
      <c r="D150" s="5" t="s">
        <v>36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53</v>
      </c>
      <c r="C151" s="5" t="s">
        <v>57</v>
      </c>
      <c r="D151" s="5" t="s">
        <v>36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53</v>
      </c>
      <c r="C152" s="5" t="s">
        <v>57</v>
      </c>
      <c r="D152" s="5" t="s">
        <v>36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53</v>
      </c>
      <c r="C153" s="5" t="s">
        <v>57</v>
      </c>
      <c r="D153" s="5" t="s">
        <v>36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53</v>
      </c>
      <c r="C154" s="5" t="s">
        <v>57</v>
      </c>
      <c r="D154" s="5" t="s">
        <v>36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53</v>
      </c>
      <c r="C155" s="5" t="s">
        <v>57</v>
      </c>
      <c r="D155" s="5" t="s">
        <v>36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53</v>
      </c>
      <c r="C156" s="5" t="s">
        <v>57</v>
      </c>
      <c r="D156" s="5" t="s">
        <v>36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53</v>
      </c>
      <c r="C157" s="5" t="s">
        <v>57</v>
      </c>
      <c r="D157" s="5" t="s">
        <v>36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53</v>
      </c>
      <c r="C158" s="5" t="s">
        <v>57</v>
      </c>
      <c r="D158" s="5" t="s">
        <v>36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58</v>
      </c>
      <c r="C159" s="5" t="s">
        <v>59</v>
      </c>
      <c r="D159" s="5" t="s">
        <v>36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58</v>
      </c>
      <c r="C160" s="5" t="s">
        <v>59</v>
      </c>
      <c r="D160" s="5" t="s">
        <v>36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58</v>
      </c>
      <c r="C161" s="5" t="s">
        <v>59</v>
      </c>
      <c r="D161" s="5" t="s">
        <v>36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58</v>
      </c>
      <c r="C162" s="5" t="s">
        <v>59</v>
      </c>
      <c r="D162" s="5" t="s">
        <v>36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58</v>
      </c>
      <c r="C163" s="5" t="s">
        <v>59</v>
      </c>
      <c r="D163" s="5" t="s">
        <v>36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58</v>
      </c>
      <c r="C164" s="5" t="s">
        <v>59</v>
      </c>
      <c r="D164" s="5" t="s">
        <v>36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58</v>
      </c>
      <c r="C165" s="5" t="s">
        <v>59</v>
      </c>
      <c r="D165" s="5" t="s">
        <v>36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58</v>
      </c>
      <c r="C166" s="5" t="s">
        <v>59</v>
      </c>
      <c r="D166" s="5" t="s">
        <v>36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58</v>
      </c>
      <c r="C167" s="5" t="s">
        <v>59</v>
      </c>
      <c r="D167" s="5" t="s">
        <v>36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58</v>
      </c>
      <c r="C168" s="5" t="s">
        <v>59</v>
      </c>
      <c r="D168" s="5" t="s">
        <v>36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58</v>
      </c>
      <c r="C169" s="5" t="s">
        <v>59</v>
      </c>
      <c r="D169" s="5" t="s">
        <v>36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58</v>
      </c>
      <c r="C170" s="5" t="s">
        <v>59</v>
      </c>
      <c r="D170" s="5" t="s">
        <v>36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58</v>
      </c>
      <c r="C171" s="5" t="s">
        <v>60</v>
      </c>
      <c r="D171" s="5" t="s">
        <v>36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58</v>
      </c>
      <c r="C172" s="5" t="s">
        <v>60</v>
      </c>
      <c r="D172" s="5" t="s">
        <v>36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58</v>
      </c>
      <c r="C173" s="5" t="s">
        <v>60</v>
      </c>
      <c r="D173" s="5" t="s">
        <v>36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58</v>
      </c>
      <c r="C174" s="5" t="s">
        <v>60</v>
      </c>
      <c r="D174" s="5" t="s">
        <v>36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58</v>
      </c>
      <c r="C175" s="5" t="s">
        <v>60</v>
      </c>
      <c r="D175" s="5" t="s">
        <v>36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58</v>
      </c>
      <c r="C176" s="5" t="s">
        <v>60</v>
      </c>
      <c r="D176" s="5" t="s">
        <v>36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58</v>
      </c>
      <c r="C177" s="5" t="s">
        <v>60</v>
      </c>
      <c r="D177" s="5" t="s">
        <v>36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58</v>
      </c>
      <c r="C178" s="5" t="s">
        <v>60</v>
      </c>
      <c r="D178" s="5" t="s">
        <v>36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58</v>
      </c>
      <c r="C179" s="5" t="s">
        <v>60</v>
      </c>
      <c r="D179" s="5" t="s">
        <v>36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58</v>
      </c>
      <c r="C180" s="5" t="s">
        <v>60</v>
      </c>
      <c r="D180" s="5" t="s">
        <v>36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58</v>
      </c>
      <c r="C181" s="5" t="s">
        <v>60</v>
      </c>
      <c r="D181" s="5" t="s">
        <v>36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58</v>
      </c>
      <c r="C182" s="5" t="s">
        <v>60</v>
      </c>
      <c r="D182" s="5" t="s">
        <v>36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58</v>
      </c>
      <c r="C183" s="5" t="s">
        <v>61</v>
      </c>
      <c r="D183" s="5" t="s">
        <v>36</v>
      </c>
      <c r="E183" s="5">
        <f t="shared" ref="E183:E246" si="8">MONTH(A183)</f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58</v>
      </c>
      <c r="C184" s="5" t="s">
        <v>61</v>
      </c>
      <c r="D184" s="5" t="s">
        <v>36</v>
      </c>
      <c r="E184" s="5">
        <f t="shared" si="8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58</v>
      </c>
      <c r="C185" s="5" t="s">
        <v>61</v>
      </c>
      <c r="D185" s="5" t="s">
        <v>36</v>
      </c>
      <c r="E185" s="5">
        <f t="shared" si="8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58</v>
      </c>
      <c r="C186" s="5" t="s">
        <v>61</v>
      </c>
      <c r="D186" s="5" t="s">
        <v>36</v>
      </c>
      <c r="E186" s="5">
        <f t="shared" si="8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58</v>
      </c>
      <c r="C187" s="5" t="s">
        <v>61</v>
      </c>
      <c r="D187" s="5" t="s">
        <v>36</v>
      </c>
      <c r="E187" s="5">
        <f t="shared" si="8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58</v>
      </c>
      <c r="C188" s="5" t="s">
        <v>61</v>
      </c>
      <c r="D188" s="5" t="s">
        <v>36</v>
      </c>
      <c r="E188" s="5">
        <f t="shared" si="8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58</v>
      </c>
      <c r="C189" s="5" t="s">
        <v>61</v>
      </c>
      <c r="D189" s="5" t="s">
        <v>36</v>
      </c>
      <c r="E189" s="5">
        <f t="shared" si="8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58</v>
      </c>
      <c r="C190" s="5" t="s">
        <v>61</v>
      </c>
      <c r="D190" s="5" t="s">
        <v>36</v>
      </c>
      <c r="E190" s="5">
        <f t="shared" si="8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58</v>
      </c>
      <c r="C191" s="5" t="s">
        <v>61</v>
      </c>
      <c r="D191" s="5" t="s">
        <v>36</v>
      </c>
      <c r="E191" s="5">
        <f t="shared" si="8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58</v>
      </c>
      <c r="C192" s="5" t="s">
        <v>61</v>
      </c>
      <c r="D192" s="5" t="s">
        <v>36</v>
      </c>
      <c r="E192" s="5">
        <f t="shared" si="8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58</v>
      </c>
      <c r="C193" s="5" t="s">
        <v>61</v>
      </c>
      <c r="D193" s="5" t="s">
        <v>36</v>
      </c>
      <c r="E193" s="5">
        <f t="shared" si="8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58</v>
      </c>
      <c r="C194" s="5" t="s">
        <v>61</v>
      </c>
      <c r="D194" s="5" t="s">
        <v>36</v>
      </c>
      <c r="E194" s="5">
        <f t="shared" si="8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62</v>
      </c>
      <c r="C195" s="5" t="s">
        <v>28</v>
      </c>
      <c r="D195" s="5" t="s">
        <v>36</v>
      </c>
      <c r="E195" s="5">
        <f t="shared" si="8"/>
        <v>1</v>
      </c>
      <c r="F195" s="5" t="str">
        <f t="shared" ref="F195:F258" si="9">B195&amp;C195&amp;E195&amp;D195</f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62</v>
      </c>
      <c r="C196" s="5" t="s">
        <v>28</v>
      </c>
      <c r="D196" s="5" t="s">
        <v>36</v>
      </c>
      <c r="E196" s="5">
        <f t="shared" si="8"/>
        <v>2</v>
      </c>
      <c r="F196" s="5" t="str">
        <f t="shared" si="9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62</v>
      </c>
      <c r="C197" s="5" t="s">
        <v>28</v>
      </c>
      <c r="D197" s="5" t="s">
        <v>36</v>
      </c>
      <c r="E197" s="5">
        <f t="shared" si="8"/>
        <v>3</v>
      </c>
      <c r="F197" s="5" t="str">
        <f t="shared" si="9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62</v>
      </c>
      <c r="C198" s="5" t="s">
        <v>28</v>
      </c>
      <c r="D198" s="5" t="s">
        <v>36</v>
      </c>
      <c r="E198" s="5">
        <f t="shared" si="8"/>
        <v>4</v>
      </c>
      <c r="F198" s="5" t="str">
        <f t="shared" si="9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62</v>
      </c>
      <c r="C199" s="5" t="s">
        <v>28</v>
      </c>
      <c r="D199" s="5" t="s">
        <v>36</v>
      </c>
      <c r="E199" s="5">
        <f t="shared" si="8"/>
        <v>5</v>
      </c>
      <c r="F199" s="5" t="str">
        <f t="shared" si="9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62</v>
      </c>
      <c r="C200" s="5" t="s">
        <v>28</v>
      </c>
      <c r="D200" s="5" t="s">
        <v>36</v>
      </c>
      <c r="E200" s="5">
        <f t="shared" si="8"/>
        <v>6</v>
      </c>
      <c r="F200" s="5" t="str">
        <f t="shared" si="9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62</v>
      </c>
      <c r="C201" s="5" t="s">
        <v>28</v>
      </c>
      <c r="D201" s="5" t="s">
        <v>36</v>
      </c>
      <c r="E201" s="5">
        <f t="shared" si="8"/>
        <v>7</v>
      </c>
      <c r="F201" s="5" t="str">
        <f t="shared" si="9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62</v>
      </c>
      <c r="C202" s="5" t="s">
        <v>28</v>
      </c>
      <c r="D202" s="5" t="s">
        <v>36</v>
      </c>
      <c r="E202" s="5">
        <f t="shared" si="8"/>
        <v>8</v>
      </c>
      <c r="F202" s="5" t="str">
        <f t="shared" si="9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62</v>
      </c>
      <c r="C203" s="5" t="s">
        <v>28</v>
      </c>
      <c r="D203" s="5" t="s">
        <v>36</v>
      </c>
      <c r="E203" s="5">
        <f t="shared" si="8"/>
        <v>9</v>
      </c>
      <c r="F203" s="5" t="str">
        <f t="shared" si="9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62</v>
      </c>
      <c r="C204" s="5" t="s">
        <v>28</v>
      </c>
      <c r="D204" s="5" t="s">
        <v>36</v>
      </c>
      <c r="E204" s="5">
        <f t="shared" si="8"/>
        <v>10</v>
      </c>
      <c r="F204" s="5" t="str">
        <f t="shared" si="9"/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62</v>
      </c>
      <c r="C205" s="5" t="s">
        <v>28</v>
      </c>
      <c r="D205" s="5" t="s">
        <v>36</v>
      </c>
      <c r="E205" s="5">
        <f t="shared" si="8"/>
        <v>11</v>
      </c>
      <c r="F205" s="5" t="str">
        <f t="shared" si="9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62</v>
      </c>
      <c r="C206" s="5" t="s">
        <v>28</v>
      </c>
      <c r="D206" s="5" t="s">
        <v>36</v>
      </c>
      <c r="E206" s="5">
        <f t="shared" si="8"/>
        <v>12</v>
      </c>
      <c r="F206" s="5" t="str">
        <f t="shared" si="9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36</v>
      </c>
      <c r="E207" s="5">
        <f t="shared" si="8"/>
        <v>1</v>
      </c>
      <c r="F207" s="5" t="str">
        <f t="shared" si="9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36</v>
      </c>
      <c r="E208" s="5">
        <f t="shared" si="8"/>
        <v>2</v>
      </c>
      <c r="F208" s="5" t="str">
        <f t="shared" si="9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36</v>
      </c>
      <c r="E209" s="5">
        <f t="shared" si="8"/>
        <v>3</v>
      </c>
      <c r="F209" s="5" t="str">
        <f t="shared" si="9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36</v>
      </c>
      <c r="E210" s="5">
        <f t="shared" si="8"/>
        <v>4</v>
      </c>
      <c r="F210" s="5" t="str">
        <f t="shared" si="9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36</v>
      </c>
      <c r="E211" s="5">
        <f t="shared" si="8"/>
        <v>5</v>
      </c>
      <c r="F211" s="5" t="str">
        <f t="shared" si="9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36</v>
      </c>
      <c r="E212" s="5">
        <f t="shared" si="8"/>
        <v>6</v>
      </c>
      <c r="F212" s="5" t="str">
        <f t="shared" si="9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36</v>
      </c>
      <c r="E213" s="5">
        <f t="shared" si="8"/>
        <v>7</v>
      </c>
      <c r="F213" s="5" t="str">
        <f t="shared" si="9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36</v>
      </c>
      <c r="E214" s="5">
        <f t="shared" si="8"/>
        <v>8</v>
      </c>
      <c r="F214" s="5" t="str">
        <f t="shared" si="9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36</v>
      </c>
      <c r="E215" s="5">
        <f t="shared" si="8"/>
        <v>9</v>
      </c>
      <c r="F215" s="5" t="str">
        <f t="shared" si="9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36</v>
      </c>
      <c r="E216" s="5">
        <f t="shared" si="8"/>
        <v>10</v>
      </c>
      <c r="F216" s="5" t="str">
        <f t="shared" si="9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36</v>
      </c>
      <c r="E217" s="5">
        <f t="shared" si="8"/>
        <v>11</v>
      </c>
      <c r="F217" s="5" t="str">
        <f t="shared" si="9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36</v>
      </c>
      <c r="E218" s="5">
        <f t="shared" si="8"/>
        <v>12</v>
      </c>
      <c r="F218" s="5" t="str">
        <f t="shared" si="9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36</v>
      </c>
      <c r="E219" s="5">
        <f t="shared" si="8"/>
        <v>1</v>
      </c>
      <c r="F219" s="5" t="str">
        <f t="shared" si="9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36</v>
      </c>
      <c r="E220" s="5">
        <f t="shared" si="8"/>
        <v>2</v>
      </c>
      <c r="F220" s="5" t="str">
        <f t="shared" si="9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36</v>
      </c>
      <c r="E221" s="5">
        <f t="shared" si="8"/>
        <v>3</v>
      </c>
      <c r="F221" s="5" t="str">
        <f t="shared" si="9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36</v>
      </c>
      <c r="E222" s="5">
        <f t="shared" si="8"/>
        <v>4</v>
      </c>
      <c r="F222" s="5" t="str">
        <f t="shared" si="9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36</v>
      </c>
      <c r="E223" s="5">
        <f t="shared" si="8"/>
        <v>5</v>
      </c>
      <c r="F223" s="5" t="str">
        <f t="shared" si="9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36</v>
      </c>
      <c r="E224" s="5">
        <f t="shared" si="8"/>
        <v>6</v>
      </c>
      <c r="F224" s="5" t="str">
        <f t="shared" si="9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36</v>
      </c>
      <c r="E225" s="5">
        <f t="shared" si="8"/>
        <v>7</v>
      </c>
      <c r="F225" s="5" t="str">
        <f t="shared" si="9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36</v>
      </c>
      <c r="E226" s="5">
        <f t="shared" si="8"/>
        <v>8</v>
      </c>
      <c r="F226" s="5" t="str">
        <f t="shared" si="9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36</v>
      </c>
      <c r="E227" s="5">
        <f t="shared" si="8"/>
        <v>9</v>
      </c>
      <c r="F227" s="5" t="str">
        <f t="shared" si="9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36</v>
      </c>
      <c r="E228" s="5">
        <f t="shared" si="8"/>
        <v>10</v>
      </c>
      <c r="F228" s="5" t="str">
        <f t="shared" si="9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36</v>
      </c>
      <c r="E229" s="5">
        <f t="shared" si="8"/>
        <v>11</v>
      </c>
      <c r="F229" s="5" t="str">
        <f t="shared" si="9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36</v>
      </c>
      <c r="E230" s="5">
        <f t="shared" si="8"/>
        <v>12</v>
      </c>
      <c r="F230" s="5" t="str">
        <f t="shared" si="9"/>
        <v>こずかいゆっこ12予算</v>
      </c>
      <c r="G230" s="6">
        <v>25000</v>
      </c>
      <c r="H230" s="6"/>
    </row>
    <row r="231" spans="1:8" x14ac:dyDescent="0.35">
      <c r="A231" s="7">
        <v>46143</v>
      </c>
      <c r="B231" s="5" t="s">
        <v>90</v>
      </c>
      <c r="C231" s="5" t="s">
        <v>91</v>
      </c>
      <c r="D231" s="5" t="s">
        <v>36</v>
      </c>
      <c r="E231" s="5">
        <f t="shared" si="8"/>
        <v>5</v>
      </c>
      <c r="F231" s="5" t="str">
        <f t="shared" si="9"/>
        <v>娯楽費旅費5予算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36</v>
      </c>
      <c r="E232" s="5">
        <f t="shared" si="8"/>
        <v>8</v>
      </c>
      <c r="F232" s="5" t="str">
        <f t="shared" si="9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77</v>
      </c>
      <c r="D233" s="5" t="s">
        <v>36</v>
      </c>
      <c r="E233" s="5">
        <f t="shared" si="8"/>
        <v>1</v>
      </c>
      <c r="F233" s="5" t="str">
        <f t="shared" si="9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77</v>
      </c>
      <c r="D234" s="5" t="s">
        <v>36</v>
      </c>
      <c r="E234" s="5">
        <f t="shared" si="8"/>
        <v>3</v>
      </c>
      <c r="F234" s="5" t="str">
        <f t="shared" si="9"/>
        <v>娯楽費その他3予算</v>
      </c>
      <c r="G234" s="6">
        <v>50000</v>
      </c>
      <c r="H234" s="6"/>
    </row>
    <row r="235" spans="1:8" x14ac:dyDescent="0.35">
      <c r="A235" s="7">
        <v>46204</v>
      </c>
      <c r="B235" s="5" t="s">
        <v>90</v>
      </c>
      <c r="C235" s="5" t="s">
        <v>77</v>
      </c>
      <c r="D235" s="5" t="s">
        <v>36</v>
      </c>
      <c r="E235" s="5">
        <f t="shared" si="8"/>
        <v>7</v>
      </c>
      <c r="F235" s="5" t="str">
        <f t="shared" si="9"/>
        <v>娯楽費その他7予算</v>
      </c>
      <c r="G235" s="6">
        <v>10000</v>
      </c>
      <c r="H235" s="6"/>
    </row>
    <row r="236" spans="1:8" x14ac:dyDescent="0.35">
      <c r="A236" s="8">
        <v>46296</v>
      </c>
      <c r="B236" s="5" t="s">
        <v>90</v>
      </c>
      <c r="C236" s="5" t="s">
        <v>77</v>
      </c>
      <c r="D236" s="5" t="s">
        <v>36</v>
      </c>
      <c r="E236" s="5">
        <f t="shared" si="8"/>
        <v>10</v>
      </c>
      <c r="F236" s="5" t="str">
        <f t="shared" si="9"/>
        <v>娯楽費その他10予算</v>
      </c>
      <c r="G236" s="6">
        <v>10000</v>
      </c>
      <c r="H236" s="6"/>
    </row>
    <row r="237" spans="1:8" x14ac:dyDescent="0.35">
      <c r="A237" s="8">
        <v>46357</v>
      </c>
      <c r="B237" s="5" t="s">
        <v>90</v>
      </c>
      <c r="C237" s="5" t="s">
        <v>77</v>
      </c>
      <c r="D237" s="5" t="s">
        <v>36</v>
      </c>
      <c r="E237" s="5">
        <f t="shared" si="8"/>
        <v>12</v>
      </c>
      <c r="F237" s="5" t="str">
        <f t="shared" si="9"/>
        <v>娯楽費その他12予算</v>
      </c>
      <c r="G237" s="6">
        <v>30000</v>
      </c>
      <c r="H237" s="6"/>
    </row>
    <row r="238" spans="1:8" x14ac:dyDescent="0.35">
      <c r="A238" s="7">
        <v>46023</v>
      </c>
      <c r="B238" s="5" t="s">
        <v>63</v>
      </c>
      <c r="C238" s="5" t="s">
        <v>64</v>
      </c>
      <c r="D238" s="5" t="s">
        <v>36</v>
      </c>
      <c r="E238" s="5">
        <f t="shared" si="8"/>
        <v>1</v>
      </c>
      <c r="F238" s="5" t="str">
        <f t="shared" si="9"/>
        <v>学費みなと1予算</v>
      </c>
      <c r="G238" s="6">
        <f>5500+2270</f>
        <v>7770</v>
      </c>
      <c r="H238" s="6"/>
    </row>
    <row r="239" spans="1:8" x14ac:dyDescent="0.35">
      <c r="A239" s="8">
        <v>46054</v>
      </c>
      <c r="B239" s="5" t="s">
        <v>63</v>
      </c>
      <c r="C239" s="5" t="s">
        <v>64</v>
      </c>
      <c r="D239" s="5" t="s">
        <v>36</v>
      </c>
      <c r="E239" s="5">
        <f t="shared" si="8"/>
        <v>2</v>
      </c>
      <c r="F239" s="5" t="str">
        <f t="shared" si="9"/>
        <v>学費みなと2予算</v>
      </c>
      <c r="G239" s="6">
        <v>5500</v>
      </c>
      <c r="H239" s="6"/>
    </row>
    <row r="240" spans="1:8" x14ac:dyDescent="0.35">
      <c r="A240" s="7">
        <v>46082</v>
      </c>
      <c r="B240" s="5" t="s">
        <v>63</v>
      </c>
      <c r="C240" s="5" t="s">
        <v>64</v>
      </c>
      <c r="D240" s="5" t="s">
        <v>36</v>
      </c>
      <c r="E240" s="5">
        <f t="shared" si="8"/>
        <v>3</v>
      </c>
      <c r="F240" s="5" t="str">
        <f t="shared" si="9"/>
        <v>学費みなと3予算</v>
      </c>
      <c r="G240" s="6">
        <v>5500</v>
      </c>
      <c r="H240" s="6"/>
    </row>
    <row r="241" spans="1:8" x14ac:dyDescent="0.35">
      <c r="A241" s="8">
        <v>46113</v>
      </c>
      <c r="B241" s="5" t="s">
        <v>63</v>
      </c>
      <c r="C241" s="5" t="s">
        <v>64</v>
      </c>
      <c r="D241" s="5" t="s">
        <v>36</v>
      </c>
      <c r="E241" s="5">
        <f t="shared" si="8"/>
        <v>4</v>
      </c>
      <c r="F241" s="5" t="str">
        <f t="shared" si="9"/>
        <v>学費みなと4予算</v>
      </c>
      <c r="G241" s="6">
        <v>5500</v>
      </c>
      <c r="H241" s="6"/>
    </row>
    <row r="242" spans="1:8" x14ac:dyDescent="0.35">
      <c r="A242" s="7">
        <v>46143</v>
      </c>
      <c r="B242" s="5" t="s">
        <v>63</v>
      </c>
      <c r="C242" s="5" t="s">
        <v>64</v>
      </c>
      <c r="D242" s="5" t="s">
        <v>36</v>
      </c>
      <c r="E242" s="5">
        <f t="shared" si="8"/>
        <v>5</v>
      </c>
      <c r="F242" s="5" t="str">
        <f t="shared" si="9"/>
        <v>学費みなと5予算</v>
      </c>
      <c r="G242" s="6">
        <f>5500+1500</f>
        <v>7000</v>
      </c>
      <c r="H242" s="6"/>
    </row>
    <row r="243" spans="1:8" x14ac:dyDescent="0.35">
      <c r="A243" s="8">
        <v>46296</v>
      </c>
      <c r="B243" s="5" t="s">
        <v>63</v>
      </c>
      <c r="C243" s="5" t="s">
        <v>64</v>
      </c>
      <c r="D243" s="5" t="s">
        <v>36</v>
      </c>
      <c r="E243" s="5">
        <f t="shared" si="8"/>
        <v>10</v>
      </c>
      <c r="F243" s="5" t="str">
        <f t="shared" si="9"/>
        <v>学費みなと10予算</v>
      </c>
      <c r="G243" s="6">
        <v>3000</v>
      </c>
      <c r="H243" s="6"/>
    </row>
    <row r="244" spans="1:8" x14ac:dyDescent="0.35">
      <c r="A244" s="7">
        <v>46023</v>
      </c>
      <c r="B244" s="5" t="s">
        <v>63</v>
      </c>
      <c r="C244" s="5" t="s">
        <v>67</v>
      </c>
      <c r="D244" s="5" t="s">
        <v>36</v>
      </c>
      <c r="E244" s="5">
        <f t="shared" si="8"/>
        <v>1</v>
      </c>
      <c r="F244" s="5" t="str">
        <f t="shared" si="9"/>
        <v>学費ことは1予算</v>
      </c>
      <c r="G244" s="6">
        <v>9000</v>
      </c>
      <c r="H244" s="6"/>
    </row>
    <row r="245" spans="1:8" x14ac:dyDescent="0.35">
      <c r="A245" s="8">
        <v>46054</v>
      </c>
      <c r="B245" s="5" t="s">
        <v>63</v>
      </c>
      <c r="C245" s="5" t="s">
        <v>67</v>
      </c>
      <c r="D245" s="5" t="s">
        <v>36</v>
      </c>
      <c r="E245" s="5">
        <f t="shared" si="8"/>
        <v>2</v>
      </c>
      <c r="F245" s="5" t="str">
        <f t="shared" si="9"/>
        <v>学費ことは2予算</v>
      </c>
      <c r="G245" s="6">
        <v>9000</v>
      </c>
      <c r="H245" s="6"/>
    </row>
    <row r="246" spans="1:8" x14ac:dyDescent="0.35">
      <c r="A246" s="7">
        <v>46082</v>
      </c>
      <c r="B246" s="5" t="s">
        <v>63</v>
      </c>
      <c r="C246" s="5" t="s">
        <v>67</v>
      </c>
      <c r="D246" s="5" t="s">
        <v>36</v>
      </c>
      <c r="E246" s="5">
        <f t="shared" si="8"/>
        <v>3</v>
      </c>
      <c r="F246" s="5" t="str">
        <f t="shared" si="9"/>
        <v>学費ことは3予算</v>
      </c>
      <c r="G246" s="6">
        <f>9000+10000</f>
        <v>19000</v>
      </c>
      <c r="H246" s="6"/>
    </row>
    <row r="247" spans="1:8" x14ac:dyDescent="0.35">
      <c r="A247" s="7">
        <v>46143</v>
      </c>
      <c r="B247" s="5" t="s">
        <v>63</v>
      </c>
      <c r="C247" s="5" t="s">
        <v>67</v>
      </c>
      <c r="D247" s="5" t="s">
        <v>36</v>
      </c>
      <c r="E247" s="5">
        <f t="shared" ref="E247:E310" si="10">MONTH(A247)</f>
        <v>5</v>
      </c>
      <c r="F247" s="5" t="str">
        <f t="shared" si="9"/>
        <v>学費ことは5予算</v>
      </c>
      <c r="G247" s="6">
        <v>8500</v>
      </c>
      <c r="H247" s="6"/>
    </row>
    <row r="248" spans="1:8" x14ac:dyDescent="0.35">
      <c r="A248" s="8">
        <v>46296</v>
      </c>
      <c r="B248" s="5" t="s">
        <v>63</v>
      </c>
      <c r="C248" s="5" t="s">
        <v>67</v>
      </c>
      <c r="D248" s="5" t="s">
        <v>36</v>
      </c>
      <c r="E248" s="5">
        <f t="shared" si="10"/>
        <v>10</v>
      </c>
      <c r="F248" s="5" t="str">
        <f t="shared" si="9"/>
        <v>学費ことは10予算</v>
      </c>
      <c r="G248" s="6">
        <v>3000</v>
      </c>
      <c r="H248" s="6"/>
    </row>
    <row r="249" spans="1:8" x14ac:dyDescent="0.35">
      <c r="A249" s="8">
        <v>46054</v>
      </c>
      <c r="B249" s="5" t="s">
        <v>69</v>
      </c>
      <c r="C249" s="5" t="s">
        <v>38</v>
      </c>
      <c r="D249" s="5" t="s">
        <v>36</v>
      </c>
      <c r="E249" s="5">
        <f t="shared" si="10"/>
        <v>2</v>
      </c>
      <c r="F249" s="5" t="str">
        <f t="shared" si="9"/>
        <v>祝い事外食2予算</v>
      </c>
      <c r="G249" s="6">
        <v>20000</v>
      </c>
      <c r="H249" s="6" t="s">
        <v>95</v>
      </c>
    </row>
    <row r="250" spans="1:8" x14ac:dyDescent="0.35">
      <c r="A250" s="8">
        <v>46113</v>
      </c>
      <c r="B250" s="5" t="s">
        <v>69</v>
      </c>
      <c r="C250" s="5" t="s">
        <v>38</v>
      </c>
      <c r="D250" s="5" t="s">
        <v>36</v>
      </c>
      <c r="E250" s="5">
        <f t="shared" si="10"/>
        <v>4</v>
      </c>
      <c r="F250" s="5" t="str">
        <f t="shared" si="9"/>
        <v>祝い事外食4予算</v>
      </c>
      <c r="G250" s="6">
        <v>30000</v>
      </c>
      <c r="H250" s="6" t="s">
        <v>93</v>
      </c>
    </row>
    <row r="251" spans="1:8" x14ac:dyDescent="0.35">
      <c r="A251" s="7">
        <v>46266</v>
      </c>
      <c r="B251" s="5" t="s">
        <v>69</v>
      </c>
      <c r="C251" s="5" t="s">
        <v>38</v>
      </c>
      <c r="D251" s="5" t="s">
        <v>36</v>
      </c>
      <c r="E251" s="5">
        <f t="shared" si="10"/>
        <v>9</v>
      </c>
      <c r="F251" s="5" t="str">
        <f t="shared" si="9"/>
        <v>祝い事外食9予算</v>
      </c>
      <c r="G251" s="6">
        <v>20000</v>
      </c>
      <c r="H251" s="6" t="s">
        <v>94</v>
      </c>
    </row>
    <row r="252" spans="1:8" x14ac:dyDescent="0.35">
      <c r="A252" s="8">
        <v>46235</v>
      </c>
      <c r="B252" s="5" t="s">
        <v>69</v>
      </c>
      <c r="C252" s="5" t="s">
        <v>65</v>
      </c>
      <c r="D252" s="5" t="s">
        <v>36</v>
      </c>
      <c r="E252" s="5">
        <f t="shared" si="10"/>
        <v>8</v>
      </c>
      <c r="F252" s="5" t="str">
        <f t="shared" si="9"/>
        <v>祝い事りょう8予算</v>
      </c>
      <c r="G252" s="6">
        <v>5000</v>
      </c>
      <c r="H252" s="6" t="s">
        <v>96</v>
      </c>
    </row>
    <row r="253" spans="1:8" x14ac:dyDescent="0.35">
      <c r="A253" s="8">
        <v>46054</v>
      </c>
      <c r="B253" s="5" t="s">
        <v>69</v>
      </c>
      <c r="C253" s="5" t="s">
        <v>66</v>
      </c>
      <c r="D253" s="5" t="s">
        <v>36</v>
      </c>
      <c r="E253" s="5">
        <f t="shared" si="10"/>
        <v>2</v>
      </c>
      <c r="F253" s="5" t="str">
        <f t="shared" si="9"/>
        <v>祝い事ゆっこ2予算</v>
      </c>
      <c r="G253" s="6">
        <f>5000+40000</f>
        <v>45000</v>
      </c>
      <c r="H253" s="6" t="s">
        <v>97</v>
      </c>
    </row>
    <row r="254" spans="1:8" x14ac:dyDescent="0.35">
      <c r="A254" s="8">
        <v>46235</v>
      </c>
      <c r="B254" s="5" t="s">
        <v>69</v>
      </c>
      <c r="C254" s="5" t="s">
        <v>64</v>
      </c>
      <c r="D254" s="5" t="s">
        <v>36</v>
      </c>
      <c r="E254" s="5">
        <f t="shared" si="10"/>
        <v>8</v>
      </c>
      <c r="F254" s="5" t="str">
        <f t="shared" si="9"/>
        <v>祝い事みなと8予算</v>
      </c>
      <c r="G254" s="6">
        <f>7000+5000</f>
        <v>12000</v>
      </c>
      <c r="H254" s="6" t="s">
        <v>97</v>
      </c>
    </row>
    <row r="255" spans="1:8" x14ac:dyDescent="0.35">
      <c r="A255" s="7">
        <v>46266</v>
      </c>
      <c r="B255" s="5" t="s">
        <v>69</v>
      </c>
      <c r="C255" s="5" t="s">
        <v>67</v>
      </c>
      <c r="D255" s="5" t="s">
        <v>36</v>
      </c>
      <c r="E255" s="5">
        <f t="shared" si="10"/>
        <v>9</v>
      </c>
      <c r="F255" s="5" t="str">
        <f t="shared" si="9"/>
        <v>祝い事ことは9予算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68</v>
      </c>
      <c r="D256" s="5" t="s">
        <v>36</v>
      </c>
      <c r="E256" s="5">
        <f t="shared" si="10"/>
        <v>9</v>
      </c>
      <c r="F256" s="5" t="str">
        <f t="shared" si="9"/>
        <v>祝い事しいか9予算</v>
      </c>
      <c r="G256" s="6">
        <v>7000</v>
      </c>
      <c r="H256" s="6" t="s">
        <v>98</v>
      </c>
    </row>
    <row r="257" spans="1:8" x14ac:dyDescent="0.35">
      <c r="A257" s="8">
        <v>46357</v>
      </c>
      <c r="B257" s="5" t="s">
        <v>69</v>
      </c>
      <c r="C257" s="5" t="s">
        <v>70</v>
      </c>
      <c r="D257" s="5" t="s">
        <v>36</v>
      </c>
      <c r="E257" s="5">
        <f t="shared" si="10"/>
        <v>12</v>
      </c>
      <c r="F257" s="5" t="str">
        <f t="shared" si="9"/>
        <v>祝い事クリスマス12予算</v>
      </c>
      <c r="G257" s="6">
        <f>5000+7000*3</f>
        <v>26000</v>
      </c>
      <c r="H257" s="6" t="s">
        <v>99</v>
      </c>
    </row>
    <row r="258" spans="1:8" x14ac:dyDescent="0.35">
      <c r="A258" s="7">
        <v>46082</v>
      </c>
      <c r="B258" s="5" t="s">
        <v>71</v>
      </c>
      <c r="C258" s="5" t="s">
        <v>65</v>
      </c>
      <c r="D258" s="5" t="s">
        <v>36</v>
      </c>
      <c r="E258" s="5">
        <f t="shared" si="10"/>
        <v>3</v>
      </c>
      <c r="F258" s="5" t="str">
        <f t="shared" si="9"/>
        <v>服りょう3予算</v>
      </c>
      <c r="G258" s="6">
        <v>20000</v>
      </c>
      <c r="H258" s="6"/>
    </row>
    <row r="259" spans="1:8" x14ac:dyDescent="0.35">
      <c r="A259" s="8">
        <v>46174</v>
      </c>
      <c r="B259" s="5" t="s">
        <v>71</v>
      </c>
      <c r="C259" s="5" t="s">
        <v>65</v>
      </c>
      <c r="D259" s="5" t="s">
        <v>36</v>
      </c>
      <c r="E259" s="5">
        <f t="shared" si="10"/>
        <v>6</v>
      </c>
      <c r="F259" s="5" t="str">
        <f t="shared" ref="F259:F322" si="11">B259&amp;C259&amp;E259&amp;D259</f>
        <v>服りょう6予算</v>
      </c>
      <c r="G259" s="6">
        <v>20000</v>
      </c>
      <c r="H259" s="6"/>
    </row>
    <row r="260" spans="1:8" x14ac:dyDescent="0.35">
      <c r="A260" s="7">
        <v>46266</v>
      </c>
      <c r="B260" s="5" t="s">
        <v>71</v>
      </c>
      <c r="C260" s="5" t="s">
        <v>65</v>
      </c>
      <c r="D260" s="5" t="s">
        <v>36</v>
      </c>
      <c r="E260" s="5">
        <f t="shared" si="10"/>
        <v>9</v>
      </c>
      <c r="F260" s="5" t="str">
        <f t="shared" si="11"/>
        <v>服りょう9予算</v>
      </c>
      <c r="G260" s="6">
        <v>20000</v>
      </c>
      <c r="H260" s="6"/>
    </row>
    <row r="261" spans="1:8" x14ac:dyDescent="0.35">
      <c r="A261" s="8">
        <v>46357</v>
      </c>
      <c r="B261" s="5" t="s">
        <v>71</v>
      </c>
      <c r="C261" s="5" t="s">
        <v>65</v>
      </c>
      <c r="D261" s="5" t="s">
        <v>36</v>
      </c>
      <c r="E261" s="5">
        <f t="shared" si="10"/>
        <v>12</v>
      </c>
      <c r="F261" s="5" t="str">
        <f t="shared" si="11"/>
        <v>服りょう12予算</v>
      </c>
      <c r="G261" s="6">
        <v>20000</v>
      </c>
      <c r="H261" s="6"/>
    </row>
    <row r="262" spans="1:8" x14ac:dyDescent="0.35">
      <c r="A262" s="7">
        <v>46082</v>
      </c>
      <c r="B262" s="5" t="s">
        <v>71</v>
      </c>
      <c r="C262" s="5" t="s">
        <v>66</v>
      </c>
      <c r="D262" s="5" t="s">
        <v>36</v>
      </c>
      <c r="E262" s="5">
        <f t="shared" si="10"/>
        <v>3</v>
      </c>
      <c r="F262" s="5" t="str">
        <f t="shared" si="11"/>
        <v>服ゆっこ3予算</v>
      </c>
      <c r="G262" s="6">
        <v>30000</v>
      </c>
      <c r="H262" s="6"/>
    </row>
    <row r="263" spans="1:8" x14ac:dyDescent="0.35">
      <c r="A263" s="8">
        <v>46174</v>
      </c>
      <c r="B263" s="5" t="s">
        <v>71</v>
      </c>
      <c r="C263" s="5" t="s">
        <v>66</v>
      </c>
      <c r="D263" s="5" t="s">
        <v>36</v>
      </c>
      <c r="E263" s="5">
        <f t="shared" si="10"/>
        <v>6</v>
      </c>
      <c r="F263" s="5" t="str">
        <f t="shared" si="11"/>
        <v>服ゆっこ6予算</v>
      </c>
      <c r="G263" s="6">
        <v>30000</v>
      </c>
      <c r="H263" s="6"/>
    </row>
    <row r="264" spans="1:8" x14ac:dyDescent="0.35">
      <c r="A264" s="7">
        <v>46266</v>
      </c>
      <c r="B264" s="5" t="s">
        <v>71</v>
      </c>
      <c r="C264" s="5" t="s">
        <v>66</v>
      </c>
      <c r="D264" s="5" t="s">
        <v>36</v>
      </c>
      <c r="E264" s="5">
        <f t="shared" si="10"/>
        <v>9</v>
      </c>
      <c r="F264" s="5" t="str">
        <f t="shared" si="11"/>
        <v>服ゆっこ9予算</v>
      </c>
      <c r="G264" s="6">
        <v>30000</v>
      </c>
      <c r="H264" s="6"/>
    </row>
    <row r="265" spans="1:8" x14ac:dyDescent="0.35">
      <c r="A265" s="8">
        <v>46357</v>
      </c>
      <c r="B265" s="5" t="s">
        <v>71</v>
      </c>
      <c r="C265" s="5" t="s">
        <v>66</v>
      </c>
      <c r="D265" s="5" t="s">
        <v>36</v>
      </c>
      <c r="E265" s="5">
        <f t="shared" si="10"/>
        <v>12</v>
      </c>
      <c r="F265" s="5" t="str">
        <f t="shared" si="11"/>
        <v>服ゆっこ12予算</v>
      </c>
      <c r="G265" s="6">
        <v>30000</v>
      </c>
      <c r="H265" s="6"/>
    </row>
    <row r="266" spans="1:8" x14ac:dyDescent="0.35">
      <c r="A266" s="7">
        <v>46082</v>
      </c>
      <c r="B266" s="5" t="s">
        <v>71</v>
      </c>
      <c r="C266" s="5" t="s">
        <v>73</v>
      </c>
      <c r="D266" s="5" t="s">
        <v>36</v>
      </c>
      <c r="E266" s="5">
        <f t="shared" si="10"/>
        <v>3</v>
      </c>
      <c r="F266" s="5" t="str">
        <f t="shared" si="11"/>
        <v>服子供3予算</v>
      </c>
      <c r="G266" s="6">
        <v>30000</v>
      </c>
      <c r="H266" s="6"/>
    </row>
    <row r="267" spans="1:8" x14ac:dyDescent="0.35">
      <c r="A267" s="8">
        <v>46174</v>
      </c>
      <c r="B267" s="5" t="s">
        <v>71</v>
      </c>
      <c r="C267" s="5" t="s">
        <v>73</v>
      </c>
      <c r="D267" s="5" t="s">
        <v>36</v>
      </c>
      <c r="E267" s="5">
        <f t="shared" si="10"/>
        <v>6</v>
      </c>
      <c r="F267" s="5" t="str">
        <f t="shared" si="11"/>
        <v>服子供6予算</v>
      </c>
      <c r="G267" s="6">
        <v>30000</v>
      </c>
      <c r="H267" s="6"/>
    </row>
    <row r="268" spans="1:8" x14ac:dyDescent="0.35">
      <c r="A268" s="7">
        <v>46266</v>
      </c>
      <c r="B268" s="5" t="s">
        <v>71</v>
      </c>
      <c r="C268" s="5" t="s">
        <v>73</v>
      </c>
      <c r="D268" s="5" t="s">
        <v>36</v>
      </c>
      <c r="E268" s="5">
        <f t="shared" si="10"/>
        <v>9</v>
      </c>
      <c r="F268" s="5" t="str">
        <f t="shared" si="11"/>
        <v>服子供9予算</v>
      </c>
      <c r="G268" s="6">
        <v>30000</v>
      </c>
      <c r="H268" s="6"/>
    </row>
    <row r="269" spans="1:8" x14ac:dyDescent="0.35">
      <c r="A269" s="8">
        <v>46357</v>
      </c>
      <c r="B269" s="5" t="s">
        <v>71</v>
      </c>
      <c r="C269" s="5" t="s">
        <v>73</v>
      </c>
      <c r="D269" s="5" t="s">
        <v>36</v>
      </c>
      <c r="E269" s="5">
        <f t="shared" si="10"/>
        <v>12</v>
      </c>
      <c r="F269" s="5" t="str">
        <f t="shared" si="11"/>
        <v>服子供12予算</v>
      </c>
      <c r="G269" s="6">
        <v>30000</v>
      </c>
      <c r="H269" s="6"/>
    </row>
    <row r="270" spans="1:8" x14ac:dyDescent="0.35">
      <c r="A270" s="7">
        <v>46023</v>
      </c>
      <c r="B270" s="5" t="s">
        <v>72</v>
      </c>
      <c r="C270" s="5" t="s">
        <v>66</v>
      </c>
      <c r="D270" s="5" t="s">
        <v>36</v>
      </c>
      <c r="E270" s="5">
        <f t="shared" si="10"/>
        <v>1</v>
      </c>
      <c r="F270" s="5" t="str">
        <f t="shared" si="11"/>
        <v>美容室ゆっこ1予算</v>
      </c>
      <c r="G270" s="6">
        <v>0</v>
      </c>
      <c r="H270" s="6"/>
    </row>
    <row r="271" spans="1:8" x14ac:dyDescent="0.35">
      <c r="A271" s="8">
        <v>46054</v>
      </c>
      <c r="B271" s="5" t="s">
        <v>72</v>
      </c>
      <c r="C271" s="5" t="s">
        <v>66</v>
      </c>
      <c r="D271" s="5" t="s">
        <v>36</v>
      </c>
      <c r="E271" s="5">
        <f t="shared" si="10"/>
        <v>2</v>
      </c>
      <c r="F271" s="5" t="str">
        <f t="shared" si="11"/>
        <v>美容室ゆっこ2予算</v>
      </c>
      <c r="G271" s="6">
        <v>0</v>
      </c>
      <c r="H271" s="6"/>
    </row>
    <row r="272" spans="1:8" x14ac:dyDescent="0.35">
      <c r="A272" s="7">
        <v>46082</v>
      </c>
      <c r="B272" s="5" t="s">
        <v>72</v>
      </c>
      <c r="C272" s="5" t="s">
        <v>66</v>
      </c>
      <c r="D272" s="5" t="s">
        <v>36</v>
      </c>
      <c r="E272" s="5">
        <f t="shared" si="10"/>
        <v>3</v>
      </c>
      <c r="F272" s="5" t="str">
        <f t="shared" si="11"/>
        <v>美容室ゆっこ3予算</v>
      </c>
      <c r="G272" s="6">
        <v>20000</v>
      </c>
      <c r="H272" s="6"/>
    </row>
    <row r="273" spans="1:8" x14ac:dyDescent="0.35">
      <c r="A273" s="8">
        <v>46113</v>
      </c>
      <c r="B273" s="5" t="s">
        <v>72</v>
      </c>
      <c r="C273" s="5" t="s">
        <v>66</v>
      </c>
      <c r="D273" s="5" t="s">
        <v>36</v>
      </c>
      <c r="E273" s="5">
        <f t="shared" si="10"/>
        <v>4</v>
      </c>
      <c r="F273" s="5" t="str">
        <f t="shared" si="11"/>
        <v>美容室ゆっこ4予算</v>
      </c>
      <c r="G273" s="6">
        <v>0</v>
      </c>
      <c r="H273" s="6"/>
    </row>
    <row r="274" spans="1:8" x14ac:dyDescent="0.35">
      <c r="A274" s="7">
        <v>46143</v>
      </c>
      <c r="B274" s="5" t="s">
        <v>72</v>
      </c>
      <c r="C274" s="5" t="s">
        <v>66</v>
      </c>
      <c r="D274" s="5" t="s">
        <v>36</v>
      </c>
      <c r="E274" s="5">
        <f t="shared" si="10"/>
        <v>5</v>
      </c>
      <c r="F274" s="5" t="str">
        <f t="shared" si="11"/>
        <v>美容室ゆっこ5予算</v>
      </c>
      <c r="G274" s="6">
        <v>0</v>
      </c>
      <c r="H274" s="6"/>
    </row>
    <row r="275" spans="1:8" x14ac:dyDescent="0.35">
      <c r="A275" s="8">
        <v>46174</v>
      </c>
      <c r="B275" s="5" t="s">
        <v>72</v>
      </c>
      <c r="C275" s="5" t="s">
        <v>66</v>
      </c>
      <c r="D275" s="5" t="s">
        <v>36</v>
      </c>
      <c r="E275" s="5">
        <f t="shared" si="10"/>
        <v>6</v>
      </c>
      <c r="F275" s="5" t="str">
        <f t="shared" si="11"/>
        <v>美容室ゆっこ6予算</v>
      </c>
      <c r="G275" s="6">
        <v>20000</v>
      </c>
      <c r="H275" s="6"/>
    </row>
    <row r="276" spans="1:8" x14ac:dyDescent="0.35">
      <c r="A276" s="7">
        <v>46204</v>
      </c>
      <c r="B276" s="5" t="s">
        <v>72</v>
      </c>
      <c r="C276" s="5" t="s">
        <v>66</v>
      </c>
      <c r="D276" s="5" t="s">
        <v>36</v>
      </c>
      <c r="E276" s="5">
        <f t="shared" si="10"/>
        <v>7</v>
      </c>
      <c r="F276" s="5" t="str">
        <f t="shared" si="11"/>
        <v>美容室ゆっこ7予算</v>
      </c>
      <c r="G276" s="6">
        <v>0</v>
      </c>
      <c r="H276" s="6"/>
    </row>
    <row r="277" spans="1:8" x14ac:dyDescent="0.35">
      <c r="A277" s="8">
        <v>46235</v>
      </c>
      <c r="B277" s="5" t="s">
        <v>72</v>
      </c>
      <c r="C277" s="5" t="s">
        <v>66</v>
      </c>
      <c r="D277" s="5" t="s">
        <v>36</v>
      </c>
      <c r="E277" s="5">
        <f t="shared" si="10"/>
        <v>8</v>
      </c>
      <c r="F277" s="5" t="str">
        <f t="shared" si="11"/>
        <v>美容室ゆっこ8予算</v>
      </c>
      <c r="G277" s="6">
        <v>0</v>
      </c>
      <c r="H277" s="6"/>
    </row>
    <row r="278" spans="1:8" x14ac:dyDescent="0.35">
      <c r="A278" s="7">
        <v>46266</v>
      </c>
      <c r="B278" s="5" t="s">
        <v>72</v>
      </c>
      <c r="C278" s="5" t="s">
        <v>66</v>
      </c>
      <c r="D278" s="5" t="s">
        <v>36</v>
      </c>
      <c r="E278" s="5">
        <f t="shared" si="10"/>
        <v>9</v>
      </c>
      <c r="F278" s="5" t="str">
        <f t="shared" si="11"/>
        <v>美容室ゆっこ9予算</v>
      </c>
      <c r="G278" s="6">
        <v>20000</v>
      </c>
      <c r="H278" s="6"/>
    </row>
    <row r="279" spans="1:8" x14ac:dyDescent="0.35">
      <c r="A279" s="8">
        <v>46296</v>
      </c>
      <c r="B279" s="5" t="s">
        <v>72</v>
      </c>
      <c r="C279" s="5" t="s">
        <v>66</v>
      </c>
      <c r="D279" s="5" t="s">
        <v>36</v>
      </c>
      <c r="E279" s="5">
        <f t="shared" si="10"/>
        <v>10</v>
      </c>
      <c r="F279" s="5" t="str">
        <f t="shared" si="11"/>
        <v>美容室ゆっこ10予算</v>
      </c>
      <c r="G279" s="6">
        <v>0</v>
      </c>
      <c r="H279" s="6"/>
    </row>
    <row r="280" spans="1:8" x14ac:dyDescent="0.35">
      <c r="A280" s="7">
        <v>46327</v>
      </c>
      <c r="B280" s="5" t="s">
        <v>72</v>
      </c>
      <c r="C280" s="5" t="s">
        <v>66</v>
      </c>
      <c r="D280" s="5" t="s">
        <v>36</v>
      </c>
      <c r="E280" s="5">
        <f t="shared" si="10"/>
        <v>11</v>
      </c>
      <c r="F280" s="5" t="str">
        <f t="shared" si="11"/>
        <v>美容室ゆっこ11予算</v>
      </c>
      <c r="G280" s="6">
        <v>0</v>
      </c>
      <c r="H280" s="6"/>
    </row>
    <row r="281" spans="1:8" x14ac:dyDescent="0.35">
      <c r="A281" s="8">
        <v>46357</v>
      </c>
      <c r="B281" s="5" t="s">
        <v>72</v>
      </c>
      <c r="C281" s="5" t="s">
        <v>66</v>
      </c>
      <c r="D281" s="5" t="s">
        <v>36</v>
      </c>
      <c r="E281" s="5">
        <f t="shared" si="10"/>
        <v>12</v>
      </c>
      <c r="F281" s="5" t="str">
        <f t="shared" si="11"/>
        <v>美容室ゆっこ12予算</v>
      </c>
      <c r="G281" s="6">
        <v>20000</v>
      </c>
      <c r="H281" s="6"/>
    </row>
    <row r="282" spans="1:8" x14ac:dyDescent="0.35">
      <c r="A282" s="7">
        <v>46023</v>
      </c>
      <c r="B282" s="5" t="s">
        <v>72</v>
      </c>
      <c r="C282" s="5" t="s">
        <v>65</v>
      </c>
      <c r="D282" s="5" t="s">
        <v>36</v>
      </c>
      <c r="E282" s="5">
        <f t="shared" si="10"/>
        <v>1</v>
      </c>
      <c r="F282" s="5" t="str">
        <f t="shared" si="11"/>
        <v>美容室りょう1予算</v>
      </c>
      <c r="G282" s="6">
        <v>0</v>
      </c>
      <c r="H282" s="6"/>
    </row>
    <row r="283" spans="1:8" x14ac:dyDescent="0.35">
      <c r="A283" s="8">
        <v>46054</v>
      </c>
      <c r="B283" s="5" t="s">
        <v>72</v>
      </c>
      <c r="C283" s="5" t="s">
        <v>65</v>
      </c>
      <c r="D283" s="5" t="s">
        <v>36</v>
      </c>
      <c r="E283" s="5">
        <f t="shared" si="10"/>
        <v>2</v>
      </c>
      <c r="F283" s="5" t="str">
        <f t="shared" si="11"/>
        <v>美容室りょう2予算</v>
      </c>
      <c r="G283" s="6">
        <v>1400</v>
      </c>
      <c r="H283" s="6"/>
    </row>
    <row r="284" spans="1:8" x14ac:dyDescent="0.35">
      <c r="A284" s="7">
        <v>46082</v>
      </c>
      <c r="B284" s="5" t="s">
        <v>72</v>
      </c>
      <c r="C284" s="5" t="s">
        <v>65</v>
      </c>
      <c r="D284" s="5" t="s">
        <v>36</v>
      </c>
      <c r="E284" s="5">
        <f t="shared" si="10"/>
        <v>3</v>
      </c>
      <c r="F284" s="5" t="str">
        <f t="shared" si="11"/>
        <v>美容室りょう3予算</v>
      </c>
      <c r="G284" s="6">
        <v>1400</v>
      </c>
      <c r="H284" s="6"/>
    </row>
    <row r="285" spans="1:8" x14ac:dyDescent="0.35">
      <c r="A285" s="8">
        <v>46113</v>
      </c>
      <c r="B285" s="5" t="s">
        <v>72</v>
      </c>
      <c r="C285" s="5" t="s">
        <v>65</v>
      </c>
      <c r="D285" s="5" t="s">
        <v>36</v>
      </c>
      <c r="E285" s="5">
        <f t="shared" si="10"/>
        <v>4</v>
      </c>
      <c r="F285" s="5" t="str">
        <f t="shared" si="11"/>
        <v>美容室りょう4予算</v>
      </c>
      <c r="G285" s="6">
        <v>0</v>
      </c>
      <c r="H285" s="6"/>
    </row>
    <row r="286" spans="1:8" x14ac:dyDescent="0.35">
      <c r="A286" s="7">
        <v>46143</v>
      </c>
      <c r="B286" s="5" t="s">
        <v>72</v>
      </c>
      <c r="C286" s="5" t="s">
        <v>65</v>
      </c>
      <c r="D286" s="5" t="s">
        <v>36</v>
      </c>
      <c r="E286" s="5">
        <f t="shared" si="10"/>
        <v>5</v>
      </c>
      <c r="F286" s="5" t="str">
        <f t="shared" si="11"/>
        <v>美容室りょう5予算</v>
      </c>
      <c r="G286" s="6">
        <v>1400</v>
      </c>
      <c r="H286" s="6"/>
    </row>
    <row r="287" spans="1:8" x14ac:dyDescent="0.35">
      <c r="A287" s="8">
        <v>46174</v>
      </c>
      <c r="B287" s="5" t="s">
        <v>72</v>
      </c>
      <c r="C287" s="5" t="s">
        <v>65</v>
      </c>
      <c r="D287" s="5" t="s">
        <v>36</v>
      </c>
      <c r="E287" s="5">
        <f t="shared" si="10"/>
        <v>6</v>
      </c>
      <c r="F287" s="5" t="str">
        <f t="shared" si="11"/>
        <v>美容室りょう6予算</v>
      </c>
      <c r="G287" s="6">
        <v>1400</v>
      </c>
      <c r="H287" s="6"/>
    </row>
    <row r="288" spans="1:8" x14ac:dyDescent="0.35">
      <c r="A288" s="7">
        <v>46204</v>
      </c>
      <c r="B288" s="5" t="s">
        <v>72</v>
      </c>
      <c r="C288" s="5" t="s">
        <v>65</v>
      </c>
      <c r="D288" s="5" t="s">
        <v>36</v>
      </c>
      <c r="E288" s="5">
        <f t="shared" si="10"/>
        <v>7</v>
      </c>
      <c r="F288" s="5" t="str">
        <f t="shared" si="11"/>
        <v>美容室りょう7予算</v>
      </c>
      <c r="G288" s="6">
        <v>0</v>
      </c>
      <c r="H288" s="6"/>
    </row>
    <row r="289" spans="1:8" x14ac:dyDescent="0.35">
      <c r="A289" s="8">
        <v>46235</v>
      </c>
      <c r="B289" s="5" t="s">
        <v>72</v>
      </c>
      <c r="C289" s="5" t="s">
        <v>65</v>
      </c>
      <c r="D289" s="5" t="s">
        <v>36</v>
      </c>
      <c r="E289" s="5">
        <f t="shared" si="10"/>
        <v>8</v>
      </c>
      <c r="F289" s="5" t="str">
        <f t="shared" si="11"/>
        <v>美容室りょう8予算</v>
      </c>
      <c r="G289" s="6">
        <v>1400</v>
      </c>
      <c r="H289" s="6"/>
    </row>
    <row r="290" spans="1:8" x14ac:dyDescent="0.35">
      <c r="A290" s="7">
        <v>46266</v>
      </c>
      <c r="B290" s="5" t="s">
        <v>72</v>
      </c>
      <c r="C290" s="5" t="s">
        <v>65</v>
      </c>
      <c r="D290" s="5" t="s">
        <v>36</v>
      </c>
      <c r="E290" s="5">
        <f t="shared" si="10"/>
        <v>9</v>
      </c>
      <c r="F290" s="5" t="str">
        <f t="shared" si="11"/>
        <v>美容室りょう9予算</v>
      </c>
      <c r="G290" s="6">
        <v>1400</v>
      </c>
      <c r="H290" s="6"/>
    </row>
    <row r="291" spans="1:8" x14ac:dyDescent="0.35">
      <c r="A291" s="8">
        <v>46296</v>
      </c>
      <c r="B291" s="5" t="s">
        <v>72</v>
      </c>
      <c r="C291" s="5" t="s">
        <v>65</v>
      </c>
      <c r="D291" s="5" t="s">
        <v>36</v>
      </c>
      <c r="E291" s="5">
        <f t="shared" si="10"/>
        <v>10</v>
      </c>
      <c r="F291" s="5" t="str">
        <f t="shared" si="11"/>
        <v>美容室りょう10予算</v>
      </c>
      <c r="G291" s="6">
        <v>0</v>
      </c>
      <c r="H291" s="6"/>
    </row>
    <row r="292" spans="1:8" x14ac:dyDescent="0.35">
      <c r="A292" s="7">
        <v>46327</v>
      </c>
      <c r="B292" s="5" t="s">
        <v>72</v>
      </c>
      <c r="C292" s="5" t="s">
        <v>65</v>
      </c>
      <c r="D292" s="5" t="s">
        <v>36</v>
      </c>
      <c r="E292" s="5">
        <f t="shared" si="10"/>
        <v>11</v>
      </c>
      <c r="F292" s="5" t="str">
        <f t="shared" si="11"/>
        <v>美容室りょう11予算</v>
      </c>
      <c r="G292" s="6">
        <v>1400</v>
      </c>
      <c r="H292" s="6"/>
    </row>
    <row r="293" spans="1:8" x14ac:dyDescent="0.35">
      <c r="A293" s="8">
        <v>46357</v>
      </c>
      <c r="B293" s="5" t="s">
        <v>72</v>
      </c>
      <c r="C293" s="5" t="s">
        <v>65</v>
      </c>
      <c r="D293" s="5" t="s">
        <v>36</v>
      </c>
      <c r="E293" s="5">
        <f t="shared" si="10"/>
        <v>12</v>
      </c>
      <c r="F293" s="5" t="str">
        <f t="shared" si="11"/>
        <v>美容室りょう12予算</v>
      </c>
      <c r="G293" s="6">
        <v>1400</v>
      </c>
      <c r="H293" s="6"/>
    </row>
    <row r="294" spans="1:8" x14ac:dyDescent="0.35">
      <c r="A294" s="7">
        <v>46023</v>
      </c>
      <c r="B294" s="5" t="s">
        <v>72</v>
      </c>
      <c r="C294" s="5" t="s">
        <v>64</v>
      </c>
      <c r="D294" s="5" t="s">
        <v>36</v>
      </c>
      <c r="E294" s="5">
        <f t="shared" si="10"/>
        <v>1</v>
      </c>
      <c r="F294" s="5" t="str">
        <f t="shared" si="11"/>
        <v>美容室みなと1予算</v>
      </c>
      <c r="G294" s="6">
        <v>0</v>
      </c>
      <c r="H294" s="6"/>
    </row>
    <row r="295" spans="1:8" x14ac:dyDescent="0.35">
      <c r="A295" s="8">
        <v>46054</v>
      </c>
      <c r="B295" s="5" t="s">
        <v>72</v>
      </c>
      <c r="C295" s="5" t="s">
        <v>64</v>
      </c>
      <c r="D295" s="5" t="s">
        <v>36</v>
      </c>
      <c r="E295" s="5">
        <f t="shared" si="10"/>
        <v>2</v>
      </c>
      <c r="F295" s="5" t="str">
        <f t="shared" si="11"/>
        <v>美容室みなと2予算</v>
      </c>
      <c r="G295" s="6">
        <v>1400</v>
      </c>
      <c r="H295" s="6"/>
    </row>
    <row r="296" spans="1:8" x14ac:dyDescent="0.35">
      <c r="A296" s="7">
        <v>46082</v>
      </c>
      <c r="B296" s="5" t="s">
        <v>72</v>
      </c>
      <c r="C296" s="5" t="s">
        <v>64</v>
      </c>
      <c r="D296" s="5" t="s">
        <v>36</v>
      </c>
      <c r="E296" s="5">
        <f t="shared" si="10"/>
        <v>3</v>
      </c>
      <c r="F296" s="5" t="str">
        <f t="shared" si="11"/>
        <v>美容室みなと3予算</v>
      </c>
      <c r="G296" s="6">
        <v>0</v>
      </c>
      <c r="H296" s="6"/>
    </row>
    <row r="297" spans="1:8" x14ac:dyDescent="0.35">
      <c r="A297" s="8">
        <v>46113</v>
      </c>
      <c r="B297" s="5" t="s">
        <v>72</v>
      </c>
      <c r="C297" s="5" t="s">
        <v>64</v>
      </c>
      <c r="D297" s="5" t="s">
        <v>36</v>
      </c>
      <c r="E297" s="5">
        <f t="shared" si="10"/>
        <v>4</v>
      </c>
      <c r="F297" s="5" t="str">
        <f t="shared" si="11"/>
        <v>美容室みなと4予算</v>
      </c>
      <c r="G297" s="6">
        <v>0</v>
      </c>
      <c r="H297" s="6"/>
    </row>
    <row r="298" spans="1:8" x14ac:dyDescent="0.35">
      <c r="A298" s="7">
        <v>46143</v>
      </c>
      <c r="B298" s="5" t="s">
        <v>72</v>
      </c>
      <c r="C298" s="5" t="s">
        <v>64</v>
      </c>
      <c r="D298" s="5" t="s">
        <v>36</v>
      </c>
      <c r="E298" s="5">
        <f t="shared" si="10"/>
        <v>5</v>
      </c>
      <c r="F298" s="5" t="str">
        <f t="shared" si="11"/>
        <v>美容室みなと5予算</v>
      </c>
      <c r="G298" s="6">
        <v>1400</v>
      </c>
      <c r="H298" s="6"/>
    </row>
    <row r="299" spans="1:8" x14ac:dyDescent="0.35">
      <c r="A299" s="8">
        <v>46174</v>
      </c>
      <c r="B299" s="5" t="s">
        <v>72</v>
      </c>
      <c r="C299" s="5" t="s">
        <v>64</v>
      </c>
      <c r="D299" s="5" t="s">
        <v>36</v>
      </c>
      <c r="E299" s="5">
        <f t="shared" si="10"/>
        <v>6</v>
      </c>
      <c r="F299" s="5" t="str">
        <f t="shared" si="11"/>
        <v>美容室みなと6予算</v>
      </c>
      <c r="G299" s="6">
        <v>0</v>
      </c>
      <c r="H299" s="6"/>
    </row>
    <row r="300" spans="1:8" x14ac:dyDescent="0.35">
      <c r="A300" s="7">
        <v>46204</v>
      </c>
      <c r="B300" s="5" t="s">
        <v>72</v>
      </c>
      <c r="C300" s="5" t="s">
        <v>64</v>
      </c>
      <c r="D300" s="5" t="s">
        <v>36</v>
      </c>
      <c r="E300" s="5">
        <f t="shared" si="10"/>
        <v>7</v>
      </c>
      <c r="F300" s="5" t="str">
        <f t="shared" si="11"/>
        <v>美容室みなと7予算</v>
      </c>
      <c r="G300" s="6">
        <v>1400</v>
      </c>
      <c r="H300" s="6"/>
    </row>
    <row r="301" spans="1:8" x14ac:dyDescent="0.35">
      <c r="A301" s="8">
        <v>46235</v>
      </c>
      <c r="B301" s="5" t="s">
        <v>72</v>
      </c>
      <c r="C301" s="5" t="s">
        <v>64</v>
      </c>
      <c r="D301" s="5" t="s">
        <v>36</v>
      </c>
      <c r="E301" s="5">
        <f t="shared" si="10"/>
        <v>8</v>
      </c>
      <c r="F301" s="5" t="str">
        <f t="shared" si="11"/>
        <v>美容室みなと8予算</v>
      </c>
      <c r="G301" s="6">
        <v>0</v>
      </c>
      <c r="H301" s="6"/>
    </row>
    <row r="302" spans="1:8" x14ac:dyDescent="0.35">
      <c r="A302" s="7">
        <v>46266</v>
      </c>
      <c r="B302" s="5" t="s">
        <v>72</v>
      </c>
      <c r="C302" s="5" t="s">
        <v>64</v>
      </c>
      <c r="D302" s="5" t="s">
        <v>36</v>
      </c>
      <c r="E302" s="5">
        <f t="shared" si="10"/>
        <v>9</v>
      </c>
      <c r="F302" s="5" t="str">
        <f t="shared" si="11"/>
        <v>美容室みなと9予算</v>
      </c>
      <c r="G302" s="6">
        <v>1400</v>
      </c>
      <c r="H302" s="6"/>
    </row>
    <row r="303" spans="1:8" x14ac:dyDescent="0.35">
      <c r="A303" s="8">
        <v>46296</v>
      </c>
      <c r="B303" s="5" t="s">
        <v>72</v>
      </c>
      <c r="C303" s="5" t="s">
        <v>64</v>
      </c>
      <c r="D303" s="5" t="s">
        <v>36</v>
      </c>
      <c r="E303" s="5">
        <f t="shared" si="10"/>
        <v>10</v>
      </c>
      <c r="F303" s="5" t="str">
        <f t="shared" si="11"/>
        <v>美容室みなと10予算</v>
      </c>
      <c r="G303" s="6">
        <v>0</v>
      </c>
      <c r="H303" s="6"/>
    </row>
    <row r="304" spans="1:8" x14ac:dyDescent="0.35">
      <c r="A304" s="7">
        <v>46327</v>
      </c>
      <c r="B304" s="5" t="s">
        <v>72</v>
      </c>
      <c r="C304" s="5" t="s">
        <v>64</v>
      </c>
      <c r="D304" s="5" t="s">
        <v>36</v>
      </c>
      <c r="E304" s="5">
        <f t="shared" si="10"/>
        <v>11</v>
      </c>
      <c r="F304" s="5" t="str">
        <f t="shared" si="11"/>
        <v>美容室みなと11予算</v>
      </c>
      <c r="G304" s="6">
        <v>1400</v>
      </c>
      <c r="H304" s="6"/>
    </row>
    <row r="305" spans="1:8" x14ac:dyDescent="0.35">
      <c r="A305" s="8">
        <v>46357</v>
      </c>
      <c r="B305" s="5" t="s">
        <v>72</v>
      </c>
      <c r="C305" s="5" t="s">
        <v>64</v>
      </c>
      <c r="D305" s="5" t="s">
        <v>36</v>
      </c>
      <c r="E305" s="5">
        <f t="shared" si="10"/>
        <v>12</v>
      </c>
      <c r="F305" s="5" t="str">
        <f t="shared" si="11"/>
        <v>美容室みなと12予算</v>
      </c>
      <c r="G305" s="6">
        <v>0</v>
      </c>
      <c r="H305" s="6"/>
    </row>
    <row r="306" spans="1:8" x14ac:dyDescent="0.35">
      <c r="A306" s="7">
        <v>46023</v>
      </c>
      <c r="B306" s="5" t="s">
        <v>74</v>
      </c>
      <c r="C306" s="5" t="s">
        <v>28</v>
      </c>
      <c r="D306" s="5" t="s">
        <v>36</v>
      </c>
      <c r="E306" s="5">
        <f t="shared" si="10"/>
        <v>1</v>
      </c>
      <c r="F306" s="5" t="str">
        <f t="shared" si="11"/>
        <v>化粧品-1予算</v>
      </c>
      <c r="G306" s="6">
        <v>10000</v>
      </c>
      <c r="H306" s="6"/>
    </row>
    <row r="307" spans="1:8" x14ac:dyDescent="0.35">
      <c r="A307" s="8">
        <v>46054</v>
      </c>
      <c r="B307" s="5" t="s">
        <v>74</v>
      </c>
      <c r="C307" s="5" t="s">
        <v>28</v>
      </c>
      <c r="D307" s="5" t="s">
        <v>36</v>
      </c>
      <c r="E307" s="5">
        <f t="shared" si="10"/>
        <v>2</v>
      </c>
      <c r="F307" s="5" t="str">
        <f t="shared" si="11"/>
        <v>化粧品-2予算</v>
      </c>
      <c r="G307" s="6">
        <v>10000</v>
      </c>
      <c r="H307" s="6"/>
    </row>
    <row r="308" spans="1:8" x14ac:dyDescent="0.35">
      <c r="A308" s="7">
        <v>46082</v>
      </c>
      <c r="B308" s="5" t="s">
        <v>74</v>
      </c>
      <c r="C308" s="5" t="s">
        <v>28</v>
      </c>
      <c r="D308" s="5" t="s">
        <v>36</v>
      </c>
      <c r="E308" s="5">
        <f t="shared" si="10"/>
        <v>3</v>
      </c>
      <c r="F308" s="5" t="str">
        <f t="shared" si="11"/>
        <v>化粧品-3予算</v>
      </c>
      <c r="G308" s="6">
        <v>10000</v>
      </c>
      <c r="H308" s="6"/>
    </row>
    <row r="309" spans="1:8" x14ac:dyDescent="0.35">
      <c r="A309" s="8">
        <v>46113</v>
      </c>
      <c r="B309" s="5" t="s">
        <v>74</v>
      </c>
      <c r="C309" s="5" t="s">
        <v>28</v>
      </c>
      <c r="D309" s="5" t="s">
        <v>36</v>
      </c>
      <c r="E309" s="5">
        <f t="shared" si="10"/>
        <v>4</v>
      </c>
      <c r="F309" s="5" t="str">
        <f t="shared" si="11"/>
        <v>化粧品-4予算</v>
      </c>
      <c r="G309" s="6">
        <v>10000</v>
      </c>
      <c r="H309" s="6"/>
    </row>
    <row r="310" spans="1:8" x14ac:dyDescent="0.35">
      <c r="A310" s="7">
        <v>46143</v>
      </c>
      <c r="B310" s="5" t="s">
        <v>74</v>
      </c>
      <c r="C310" s="5" t="s">
        <v>28</v>
      </c>
      <c r="D310" s="5" t="s">
        <v>36</v>
      </c>
      <c r="E310" s="5">
        <f t="shared" si="10"/>
        <v>5</v>
      </c>
      <c r="F310" s="5" t="str">
        <f t="shared" si="11"/>
        <v>化粧品-5予算</v>
      </c>
      <c r="G310" s="6">
        <v>10000</v>
      </c>
      <c r="H310" s="6"/>
    </row>
    <row r="311" spans="1:8" x14ac:dyDescent="0.35">
      <c r="A311" s="8">
        <v>46174</v>
      </c>
      <c r="B311" s="5" t="s">
        <v>74</v>
      </c>
      <c r="C311" s="5" t="s">
        <v>28</v>
      </c>
      <c r="D311" s="5" t="s">
        <v>36</v>
      </c>
      <c r="E311" s="5">
        <f t="shared" ref="E311:E372" si="12">MONTH(A311)</f>
        <v>6</v>
      </c>
      <c r="F311" s="5" t="str">
        <f t="shared" si="11"/>
        <v>化粧品-6予算</v>
      </c>
      <c r="G311" s="6">
        <v>10000</v>
      </c>
      <c r="H311" s="6"/>
    </row>
    <row r="312" spans="1:8" x14ac:dyDescent="0.35">
      <c r="A312" s="7">
        <v>46204</v>
      </c>
      <c r="B312" s="5" t="s">
        <v>74</v>
      </c>
      <c r="C312" s="5" t="s">
        <v>28</v>
      </c>
      <c r="D312" s="5" t="s">
        <v>36</v>
      </c>
      <c r="E312" s="5">
        <f t="shared" si="12"/>
        <v>7</v>
      </c>
      <c r="F312" s="5" t="str">
        <f t="shared" si="11"/>
        <v>化粧品-7予算</v>
      </c>
      <c r="G312" s="6">
        <v>10000</v>
      </c>
      <c r="H312" s="6"/>
    </row>
    <row r="313" spans="1:8" x14ac:dyDescent="0.35">
      <c r="A313" s="8">
        <v>46235</v>
      </c>
      <c r="B313" s="5" t="s">
        <v>74</v>
      </c>
      <c r="C313" s="5" t="s">
        <v>28</v>
      </c>
      <c r="D313" s="5" t="s">
        <v>36</v>
      </c>
      <c r="E313" s="5">
        <f t="shared" si="12"/>
        <v>8</v>
      </c>
      <c r="F313" s="5" t="str">
        <f t="shared" si="11"/>
        <v>化粧品-8予算</v>
      </c>
      <c r="G313" s="6">
        <v>10000</v>
      </c>
      <c r="H313" s="6"/>
    </row>
    <row r="314" spans="1:8" x14ac:dyDescent="0.35">
      <c r="A314" s="7">
        <v>46266</v>
      </c>
      <c r="B314" s="5" t="s">
        <v>74</v>
      </c>
      <c r="C314" s="5" t="s">
        <v>28</v>
      </c>
      <c r="D314" s="5" t="s">
        <v>36</v>
      </c>
      <c r="E314" s="5">
        <f t="shared" si="12"/>
        <v>9</v>
      </c>
      <c r="F314" s="5" t="str">
        <f t="shared" si="11"/>
        <v>化粧品-9予算</v>
      </c>
      <c r="G314" s="6">
        <v>10000</v>
      </c>
      <c r="H314" s="6"/>
    </row>
    <row r="315" spans="1:8" x14ac:dyDescent="0.35">
      <c r="A315" s="8">
        <v>46296</v>
      </c>
      <c r="B315" s="5" t="s">
        <v>74</v>
      </c>
      <c r="C315" s="5" t="s">
        <v>28</v>
      </c>
      <c r="D315" s="5" t="s">
        <v>36</v>
      </c>
      <c r="E315" s="5">
        <f t="shared" si="12"/>
        <v>10</v>
      </c>
      <c r="F315" s="5" t="str">
        <f t="shared" si="11"/>
        <v>化粧品-10予算</v>
      </c>
      <c r="G315" s="6">
        <v>10000</v>
      </c>
      <c r="H315" s="6"/>
    </row>
    <row r="316" spans="1:8" x14ac:dyDescent="0.35">
      <c r="A316" s="7">
        <v>46327</v>
      </c>
      <c r="B316" s="5" t="s">
        <v>74</v>
      </c>
      <c r="C316" s="5" t="s">
        <v>28</v>
      </c>
      <c r="D316" s="5" t="s">
        <v>36</v>
      </c>
      <c r="E316" s="5">
        <f t="shared" si="12"/>
        <v>11</v>
      </c>
      <c r="F316" s="5" t="str">
        <f t="shared" si="11"/>
        <v>化粧品-11予算</v>
      </c>
      <c r="G316" s="6">
        <v>10000</v>
      </c>
      <c r="H316" s="6"/>
    </row>
    <row r="317" spans="1:8" x14ac:dyDescent="0.35">
      <c r="A317" s="8">
        <v>46357</v>
      </c>
      <c r="B317" s="5" t="s">
        <v>74</v>
      </c>
      <c r="C317" s="5" t="s">
        <v>28</v>
      </c>
      <c r="D317" s="5" t="s">
        <v>36</v>
      </c>
      <c r="E317" s="5">
        <f t="shared" si="12"/>
        <v>12</v>
      </c>
      <c r="F317" s="5" t="str">
        <f t="shared" si="11"/>
        <v>化粧品-12予算</v>
      </c>
      <c r="G317" s="6">
        <v>10000</v>
      </c>
      <c r="H317" s="6"/>
    </row>
    <row r="318" spans="1:8" x14ac:dyDescent="0.35">
      <c r="A318" s="7">
        <v>46023</v>
      </c>
      <c r="B318" s="5" t="s">
        <v>75</v>
      </c>
      <c r="C318" s="5" t="s">
        <v>28</v>
      </c>
      <c r="D318" s="5" t="s">
        <v>36</v>
      </c>
      <c r="E318" s="5">
        <f t="shared" si="12"/>
        <v>1</v>
      </c>
      <c r="F318" s="5" t="str">
        <f t="shared" si="11"/>
        <v>医療費-1予算</v>
      </c>
      <c r="G318" s="6">
        <v>3000</v>
      </c>
      <c r="H318" s="6"/>
    </row>
    <row r="319" spans="1:8" x14ac:dyDescent="0.35">
      <c r="A319" s="8">
        <v>46054</v>
      </c>
      <c r="B319" s="5" t="s">
        <v>75</v>
      </c>
      <c r="C319" s="5" t="s">
        <v>28</v>
      </c>
      <c r="D319" s="5" t="s">
        <v>36</v>
      </c>
      <c r="E319" s="5">
        <f t="shared" si="12"/>
        <v>2</v>
      </c>
      <c r="F319" s="5" t="str">
        <f t="shared" si="11"/>
        <v>医療費-2予算</v>
      </c>
      <c r="G319" s="6">
        <v>3000</v>
      </c>
      <c r="H319" s="6"/>
    </row>
    <row r="320" spans="1:8" x14ac:dyDescent="0.35">
      <c r="A320" s="7">
        <v>46082</v>
      </c>
      <c r="B320" s="5" t="s">
        <v>75</v>
      </c>
      <c r="C320" s="5" t="s">
        <v>28</v>
      </c>
      <c r="D320" s="5" t="s">
        <v>36</v>
      </c>
      <c r="E320" s="5">
        <f t="shared" si="12"/>
        <v>3</v>
      </c>
      <c r="F320" s="5" t="str">
        <f t="shared" si="11"/>
        <v>医療費-3予算</v>
      </c>
      <c r="G320" s="6">
        <v>3000</v>
      </c>
      <c r="H320" s="6"/>
    </row>
    <row r="321" spans="1:8" x14ac:dyDescent="0.35">
      <c r="A321" s="8">
        <v>46113</v>
      </c>
      <c r="B321" s="5" t="s">
        <v>75</v>
      </c>
      <c r="C321" s="5" t="s">
        <v>28</v>
      </c>
      <c r="D321" s="5" t="s">
        <v>36</v>
      </c>
      <c r="E321" s="5">
        <f t="shared" si="12"/>
        <v>4</v>
      </c>
      <c r="F321" s="5" t="str">
        <f t="shared" si="11"/>
        <v>医療費-4予算</v>
      </c>
      <c r="G321" s="6">
        <v>3000</v>
      </c>
      <c r="H321" s="6"/>
    </row>
    <row r="322" spans="1:8" x14ac:dyDescent="0.35">
      <c r="A322" s="7">
        <v>46143</v>
      </c>
      <c r="B322" s="5" t="s">
        <v>75</v>
      </c>
      <c r="C322" s="5" t="s">
        <v>28</v>
      </c>
      <c r="D322" s="5" t="s">
        <v>36</v>
      </c>
      <c r="E322" s="5">
        <f t="shared" si="12"/>
        <v>5</v>
      </c>
      <c r="F322" s="5" t="str">
        <f t="shared" si="11"/>
        <v>医療費-5予算</v>
      </c>
      <c r="G322" s="6">
        <v>3000</v>
      </c>
      <c r="H322" s="6"/>
    </row>
    <row r="323" spans="1:8" x14ac:dyDescent="0.35">
      <c r="A323" s="8">
        <v>46174</v>
      </c>
      <c r="B323" s="5" t="s">
        <v>75</v>
      </c>
      <c r="C323" s="5" t="s">
        <v>28</v>
      </c>
      <c r="D323" s="5" t="s">
        <v>36</v>
      </c>
      <c r="E323" s="5">
        <f t="shared" si="12"/>
        <v>6</v>
      </c>
      <c r="F323" s="5" t="str">
        <f t="shared" ref="F323:F385" si="13">B323&amp;C323&amp;E323&amp;D323</f>
        <v>医療費-6予算</v>
      </c>
      <c r="G323" s="6">
        <v>3000</v>
      </c>
      <c r="H323" s="6"/>
    </row>
    <row r="324" spans="1:8" x14ac:dyDescent="0.35">
      <c r="A324" s="7">
        <v>46204</v>
      </c>
      <c r="B324" s="5" t="s">
        <v>75</v>
      </c>
      <c r="C324" s="5" t="s">
        <v>28</v>
      </c>
      <c r="D324" s="5" t="s">
        <v>36</v>
      </c>
      <c r="E324" s="5">
        <f t="shared" si="12"/>
        <v>7</v>
      </c>
      <c r="F324" s="5" t="str">
        <f t="shared" si="13"/>
        <v>医療費-7予算</v>
      </c>
      <c r="G324" s="6">
        <v>3000</v>
      </c>
      <c r="H324" s="6"/>
    </row>
    <row r="325" spans="1:8" x14ac:dyDescent="0.35">
      <c r="A325" s="8">
        <v>46235</v>
      </c>
      <c r="B325" s="5" t="s">
        <v>75</v>
      </c>
      <c r="C325" s="5" t="s">
        <v>28</v>
      </c>
      <c r="D325" s="5" t="s">
        <v>36</v>
      </c>
      <c r="E325" s="5">
        <f t="shared" si="12"/>
        <v>8</v>
      </c>
      <c r="F325" s="5" t="str">
        <f t="shared" si="13"/>
        <v>医療費-8予算</v>
      </c>
      <c r="G325" s="6">
        <v>3000</v>
      </c>
      <c r="H325" s="6"/>
    </row>
    <row r="326" spans="1:8" x14ac:dyDescent="0.35">
      <c r="A326" s="7">
        <v>46266</v>
      </c>
      <c r="B326" s="5" t="s">
        <v>75</v>
      </c>
      <c r="C326" s="5" t="s">
        <v>28</v>
      </c>
      <c r="D326" s="5" t="s">
        <v>36</v>
      </c>
      <c r="E326" s="5">
        <f t="shared" si="12"/>
        <v>9</v>
      </c>
      <c r="F326" s="5" t="str">
        <f t="shared" si="13"/>
        <v>医療費-9予算</v>
      </c>
      <c r="G326" s="6">
        <v>3000</v>
      </c>
      <c r="H326" s="6"/>
    </row>
    <row r="327" spans="1:8" x14ac:dyDescent="0.35">
      <c r="A327" s="8">
        <v>46296</v>
      </c>
      <c r="B327" s="5" t="s">
        <v>75</v>
      </c>
      <c r="C327" s="5" t="s">
        <v>28</v>
      </c>
      <c r="D327" s="5" t="s">
        <v>36</v>
      </c>
      <c r="E327" s="5">
        <f t="shared" si="12"/>
        <v>10</v>
      </c>
      <c r="F327" s="5" t="str">
        <f t="shared" si="13"/>
        <v>医療費-10予算</v>
      </c>
      <c r="G327" s="6">
        <v>3000</v>
      </c>
      <c r="H327" s="6"/>
    </row>
    <row r="328" spans="1:8" x14ac:dyDescent="0.35">
      <c r="A328" s="7">
        <v>46327</v>
      </c>
      <c r="B328" s="5" t="s">
        <v>75</v>
      </c>
      <c r="C328" s="5" t="s">
        <v>28</v>
      </c>
      <c r="D328" s="5" t="s">
        <v>36</v>
      </c>
      <c r="E328" s="5">
        <f t="shared" si="12"/>
        <v>11</v>
      </c>
      <c r="F328" s="5" t="str">
        <f t="shared" si="13"/>
        <v>医療費-11予算</v>
      </c>
      <c r="G328" s="6">
        <v>3000</v>
      </c>
      <c r="H328" s="6"/>
    </row>
    <row r="329" spans="1:8" x14ac:dyDescent="0.35">
      <c r="A329" s="8">
        <v>46357</v>
      </c>
      <c r="B329" s="5" t="s">
        <v>75</v>
      </c>
      <c r="C329" s="5" t="s">
        <v>28</v>
      </c>
      <c r="D329" s="5" t="s">
        <v>36</v>
      </c>
      <c r="E329" s="5">
        <f t="shared" si="12"/>
        <v>12</v>
      </c>
      <c r="F329" s="5" t="str">
        <f t="shared" si="13"/>
        <v>医療費-12予算</v>
      </c>
      <c r="G329" s="6">
        <v>3000</v>
      </c>
      <c r="H329" s="6"/>
    </row>
    <row r="330" spans="1:8" x14ac:dyDescent="0.35">
      <c r="A330" s="7">
        <v>46082</v>
      </c>
      <c r="B330" s="5" t="s">
        <v>76</v>
      </c>
      <c r="C330" s="5" t="s">
        <v>28</v>
      </c>
      <c r="D330" s="5" t="s">
        <v>36</v>
      </c>
      <c r="E330" s="5">
        <f t="shared" si="12"/>
        <v>3</v>
      </c>
      <c r="F330" s="5" t="str">
        <f t="shared" si="13"/>
        <v>ふるさと納税-3予算</v>
      </c>
      <c r="G330" s="6">
        <v>30000</v>
      </c>
      <c r="H330" s="6"/>
    </row>
    <row r="331" spans="1:8" x14ac:dyDescent="0.35">
      <c r="A331" s="8">
        <v>46174</v>
      </c>
      <c r="B331" s="5" t="s">
        <v>76</v>
      </c>
      <c r="C331" s="5" t="s">
        <v>28</v>
      </c>
      <c r="D331" s="5" t="s">
        <v>36</v>
      </c>
      <c r="E331" s="5">
        <f t="shared" si="12"/>
        <v>6</v>
      </c>
      <c r="F331" s="5" t="str">
        <f t="shared" si="13"/>
        <v>ふるさと納税-6予算</v>
      </c>
      <c r="G331" s="6">
        <v>40000</v>
      </c>
      <c r="H331" s="6"/>
    </row>
    <row r="332" spans="1:8" x14ac:dyDescent="0.35">
      <c r="A332" s="7">
        <v>46266</v>
      </c>
      <c r="B332" s="5" t="s">
        <v>76</v>
      </c>
      <c r="C332" s="5" t="s">
        <v>28</v>
      </c>
      <c r="D332" s="5" t="s">
        <v>36</v>
      </c>
      <c r="E332" s="5">
        <f t="shared" si="12"/>
        <v>9</v>
      </c>
      <c r="F332" s="5" t="str">
        <f t="shared" si="13"/>
        <v>ふるさと納税-9予算</v>
      </c>
      <c r="G332" s="6">
        <v>30000</v>
      </c>
      <c r="H332" s="6"/>
    </row>
    <row r="333" spans="1:8" x14ac:dyDescent="0.35">
      <c r="A333" s="8">
        <v>46357</v>
      </c>
      <c r="B333" s="5" t="s">
        <v>76</v>
      </c>
      <c r="C333" s="5" t="s">
        <v>28</v>
      </c>
      <c r="D333" s="5" t="s">
        <v>36</v>
      </c>
      <c r="E333" s="5">
        <f t="shared" si="12"/>
        <v>12</v>
      </c>
      <c r="F333" s="5" t="str">
        <f t="shared" si="13"/>
        <v>ふるさと納税-12予算</v>
      </c>
      <c r="G333" s="6">
        <v>40000</v>
      </c>
      <c r="H333" s="6"/>
    </row>
    <row r="334" spans="1:8" x14ac:dyDescent="0.35">
      <c r="A334" s="7">
        <v>46174</v>
      </c>
      <c r="B334" s="5" t="s">
        <v>77</v>
      </c>
      <c r="C334" s="5" t="s">
        <v>78</v>
      </c>
      <c r="D334" s="5" t="s">
        <v>36</v>
      </c>
      <c r="E334" s="5">
        <f t="shared" si="12"/>
        <v>6</v>
      </c>
      <c r="F334" s="5" t="str">
        <f t="shared" si="13"/>
        <v>その他固定資産税6予算</v>
      </c>
      <c r="G334" s="6">
        <v>100000</v>
      </c>
      <c r="H334" s="6"/>
    </row>
    <row r="335" spans="1:8" x14ac:dyDescent="0.35">
      <c r="A335" s="7">
        <v>46113</v>
      </c>
      <c r="B335" s="5" t="s">
        <v>77</v>
      </c>
      <c r="C335" s="5" t="s">
        <v>79</v>
      </c>
      <c r="D335" s="5" t="s">
        <v>36</v>
      </c>
      <c r="E335" s="5">
        <f t="shared" si="12"/>
        <v>4</v>
      </c>
      <c r="F335" s="5" t="str">
        <f t="shared" si="13"/>
        <v>その他クリーニング4予算</v>
      </c>
      <c r="G335" s="6">
        <v>15000</v>
      </c>
      <c r="H335" s="6"/>
    </row>
    <row r="336" spans="1:8" x14ac:dyDescent="0.35">
      <c r="A336" s="7">
        <v>46112</v>
      </c>
      <c r="B336" s="5" t="s">
        <v>77</v>
      </c>
      <c r="C336" s="5" t="s">
        <v>81</v>
      </c>
      <c r="D336" s="5" t="s">
        <v>36</v>
      </c>
      <c r="E336" s="5">
        <f t="shared" si="12"/>
        <v>3</v>
      </c>
      <c r="F336" s="5" t="str">
        <f t="shared" si="13"/>
        <v>その他通勤定期3予算</v>
      </c>
      <c r="G336" s="6">
        <v>123830</v>
      </c>
      <c r="H336" s="6"/>
    </row>
    <row r="337" spans="1:8" x14ac:dyDescent="0.35">
      <c r="A337" s="8">
        <v>46295</v>
      </c>
      <c r="B337" s="5" t="s">
        <v>77</v>
      </c>
      <c r="C337" s="5" t="s">
        <v>81</v>
      </c>
      <c r="D337" s="5" t="s">
        <v>36</v>
      </c>
      <c r="E337" s="5">
        <f t="shared" si="12"/>
        <v>9</v>
      </c>
      <c r="F337" s="5" t="str">
        <f t="shared" si="13"/>
        <v>その他通勤定期9予算</v>
      </c>
      <c r="G337" s="6">
        <v>123830</v>
      </c>
      <c r="H337" s="6"/>
    </row>
    <row r="338" spans="1:8" x14ac:dyDescent="0.35">
      <c r="A338" s="7">
        <v>46082</v>
      </c>
      <c r="B338" s="5" t="s">
        <v>77</v>
      </c>
      <c r="C338" s="5" t="s">
        <v>82</v>
      </c>
      <c r="D338" s="5" t="s">
        <v>36</v>
      </c>
      <c r="E338" s="5">
        <f t="shared" si="12"/>
        <v>3</v>
      </c>
      <c r="F338" s="5" t="str">
        <f t="shared" si="13"/>
        <v>その他父の日/母の日/誕生日3予算</v>
      </c>
      <c r="G338" s="6">
        <v>5000</v>
      </c>
      <c r="H338" s="6"/>
    </row>
    <row r="339" spans="1:8" x14ac:dyDescent="0.35">
      <c r="A339" s="7">
        <v>46143</v>
      </c>
      <c r="B339" s="5" t="s">
        <v>77</v>
      </c>
      <c r="C339" s="5" t="s">
        <v>82</v>
      </c>
      <c r="D339" s="5" t="s">
        <v>36</v>
      </c>
      <c r="E339" s="5">
        <f t="shared" si="12"/>
        <v>5</v>
      </c>
      <c r="F339" s="5" t="str">
        <f t="shared" si="13"/>
        <v>その他父の日/母の日/誕生日5予算</v>
      </c>
      <c r="G339" s="6">
        <v>10000</v>
      </c>
      <c r="H339" s="6"/>
    </row>
    <row r="340" spans="1:8" x14ac:dyDescent="0.35">
      <c r="A340" s="8">
        <v>46174</v>
      </c>
      <c r="B340" s="5" t="s">
        <v>77</v>
      </c>
      <c r="C340" s="5" t="s">
        <v>82</v>
      </c>
      <c r="D340" s="5" t="s">
        <v>36</v>
      </c>
      <c r="E340" s="5">
        <f t="shared" si="12"/>
        <v>6</v>
      </c>
      <c r="F340" s="5" t="str">
        <f t="shared" si="13"/>
        <v>その他父の日/母の日/誕生日6予算</v>
      </c>
      <c r="G340" s="6">
        <v>10000</v>
      </c>
      <c r="H340" s="6"/>
    </row>
    <row r="341" spans="1:8" x14ac:dyDescent="0.35">
      <c r="A341" s="8">
        <v>46235</v>
      </c>
      <c r="B341" s="5" t="s">
        <v>77</v>
      </c>
      <c r="C341" s="5" t="s">
        <v>82</v>
      </c>
      <c r="D341" s="5" t="s">
        <v>36</v>
      </c>
      <c r="E341" s="5">
        <f t="shared" si="12"/>
        <v>8</v>
      </c>
      <c r="F341" s="5" t="str">
        <f t="shared" si="13"/>
        <v>その他父の日/母の日/誕生日8予算</v>
      </c>
      <c r="G341" s="6">
        <v>5000</v>
      </c>
      <c r="H341" s="6"/>
    </row>
    <row r="342" spans="1:8" x14ac:dyDescent="0.35">
      <c r="A342" s="7">
        <v>46266</v>
      </c>
      <c r="B342" s="5" t="s">
        <v>77</v>
      </c>
      <c r="C342" s="5" t="s">
        <v>82</v>
      </c>
      <c r="D342" s="5" t="s">
        <v>36</v>
      </c>
      <c r="E342" s="5">
        <f t="shared" si="12"/>
        <v>9</v>
      </c>
      <c r="F342" s="5" t="str">
        <f t="shared" si="13"/>
        <v>その他父の日/母の日/誕生日9予算</v>
      </c>
      <c r="G342" s="6">
        <v>5000</v>
      </c>
      <c r="H342" s="6"/>
    </row>
    <row r="343" spans="1:8" x14ac:dyDescent="0.35">
      <c r="A343" s="8">
        <v>46357</v>
      </c>
      <c r="B343" s="5" t="s">
        <v>77</v>
      </c>
      <c r="C343" s="5" t="s">
        <v>82</v>
      </c>
      <c r="D343" s="5" t="s">
        <v>36</v>
      </c>
      <c r="E343" s="5">
        <f t="shared" si="12"/>
        <v>12</v>
      </c>
      <c r="F343" s="5" t="str">
        <f t="shared" si="13"/>
        <v>その他父の日/母の日/誕生日12予算</v>
      </c>
      <c r="G343" s="6">
        <v>5000</v>
      </c>
      <c r="H343" s="6"/>
    </row>
    <row r="344" spans="1:8" x14ac:dyDescent="0.35">
      <c r="A344" s="8">
        <v>46174</v>
      </c>
      <c r="B344" s="5" t="s">
        <v>77</v>
      </c>
      <c r="C344" s="5" t="s">
        <v>32</v>
      </c>
      <c r="D344" s="5" t="s">
        <v>36</v>
      </c>
      <c r="E344" s="5">
        <f t="shared" si="12"/>
        <v>6</v>
      </c>
      <c r="F344" s="5" t="str">
        <f t="shared" si="13"/>
        <v>その他NHK6予算</v>
      </c>
      <c r="G344" s="6">
        <v>6200</v>
      </c>
      <c r="H344" s="6"/>
    </row>
    <row r="345" spans="1:8" x14ac:dyDescent="0.35">
      <c r="A345" s="8">
        <v>46357</v>
      </c>
      <c r="B345" s="5" t="s">
        <v>77</v>
      </c>
      <c r="C345" s="5" t="s">
        <v>32</v>
      </c>
      <c r="D345" s="5" t="s">
        <v>36</v>
      </c>
      <c r="E345" s="5">
        <f t="shared" si="12"/>
        <v>12</v>
      </c>
      <c r="F345" s="5" t="str">
        <f t="shared" si="13"/>
        <v>その他NHK12予算</v>
      </c>
      <c r="G345" s="6">
        <v>6200</v>
      </c>
      <c r="H345" s="6"/>
    </row>
    <row r="346" spans="1:8" x14ac:dyDescent="0.35">
      <c r="A346" s="7">
        <v>46113</v>
      </c>
      <c r="B346" s="5" t="s">
        <v>77</v>
      </c>
      <c r="C346" s="5" t="s">
        <v>84</v>
      </c>
      <c r="D346" s="5" t="s">
        <v>36</v>
      </c>
      <c r="E346" s="5">
        <f t="shared" si="12"/>
        <v>4</v>
      </c>
      <c r="F346" s="5" t="str">
        <f t="shared" si="13"/>
        <v>その他お墓参り4予算</v>
      </c>
      <c r="G346" s="6">
        <v>13000</v>
      </c>
      <c r="H346" s="6"/>
    </row>
    <row r="347" spans="1:8" x14ac:dyDescent="0.35">
      <c r="A347" s="8">
        <v>46296</v>
      </c>
      <c r="B347" s="5" t="s">
        <v>77</v>
      </c>
      <c r="C347" s="5" t="s">
        <v>77</v>
      </c>
      <c r="D347" s="5" t="s">
        <v>36</v>
      </c>
      <c r="E347" s="5">
        <f t="shared" si="12"/>
        <v>10</v>
      </c>
      <c r="F347" s="5" t="str">
        <f t="shared" si="13"/>
        <v>その他その他10予算</v>
      </c>
      <c r="G347" s="6">
        <v>40000</v>
      </c>
      <c r="H347" s="6" t="s">
        <v>100</v>
      </c>
    </row>
    <row r="348" spans="1:8" x14ac:dyDescent="0.35">
      <c r="A348" s="7">
        <v>46082</v>
      </c>
      <c r="B348" s="5" t="s">
        <v>77</v>
      </c>
      <c r="C348" s="5" t="s">
        <v>85</v>
      </c>
      <c r="D348" s="5" t="s">
        <v>36</v>
      </c>
      <c r="E348" s="5">
        <f t="shared" si="12"/>
        <v>3</v>
      </c>
      <c r="F348" s="5" t="str">
        <f t="shared" si="13"/>
        <v>その他予備費3予算</v>
      </c>
      <c r="G348" s="6">
        <v>40000</v>
      </c>
      <c r="H348" s="6"/>
    </row>
    <row r="349" spans="1:8" x14ac:dyDescent="0.35">
      <c r="A349" s="8">
        <v>46174</v>
      </c>
      <c r="B349" s="5" t="s">
        <v>77</v>
      </c>
      <c r="C349" s="5" t="s">
        <v>85</v>
      </c>
      <c r="D349" s="5" t="s">
        <v>36</v>
      </c>
      <c r="E349" s="5">
        <f t="shared" si="12"/>
        <v>6</v>
      </c>
      <c r="F349" s="5" t="str">
        <f t="shared" si="13"/>
        <v>その他予備費6予算</v>
      </c>
      <c r="G349" s="6">
        <v>40000</v>
      </c>
      <c r="H349" s="6"/>
    </row>
    <row r="350" spans="1:8" x14ac:dyDescent="0.35">
      <c r="A350" s="7">
        <v>46266</v>
      </c>
      <c r="B350" s="5" t="s">
        <v>77</v>
      </c>
      <c r="C350" s="5" t="s">
        <v>85</v>
      </c>
      <c r="D350" s="5" t="s">
        <v>36</v>
      </c>
      <c r="E350" s="5">
        <f t="shared" si="12"/>
        <v>9</v>
      </c>
      <c r="F350" s="5" t="str">
        <f t="shared" si="13"/>
        <v>その他予備費9予算</v>
      </c>
      <c r="G350" s="6">
        <v>40000</v>
      </c>
      <c r="H350" s="6"/>
    </row>
    <row r="351" spans="1:8" x14ac:dyDescent="0.35">
      <c r="A351" s="8">
        <v>46357</v>
      </c>
      <c r="B351" s="5" t="s">
        <v>77</v>
      </c>
      <c r="C351" s="5" t="s">
        <v>85</v>
      </c>
      <c r="D351" s="5" t="s">
        <v>36</v>
      </c>
      <c r="E351" s="5">
        <f t="shared" si="12"/>
        <v>12</v>
      </c>
      <c r="F351" s="5" t="str">
        <f t="shared" si="13"/>
        <v>その他予備費12予算</v>
      </c>
      <c r="G351" s="6">
        <v>40000</v>
      </c>
      <c r="H351" s="6"/>
    </row>
    <row r="352" spans="1:8" x14ac:dyDescent="0.35">
      <c r="A352" s="7">
        <v>46023</v>
      </c>
      <c r="B352" s="5" t="s">
        <v>0</v>
      </c>
      <c r="C352" s="5" t="s">
        <v>28</v>
      </c>
      <c r="D352" s="5" t="s">
        <v>37</v>
      </c>
      <c r="E352" s="5">
        <f>MONTH(A352)</f>
        <v>1</v>
      </c>
      <c r="F352" s="5" t="str">
        <f t="shared" si="13"/>
        <v>家賃-1実績</v>
      </c>
      <c r="G352" s="6">
        <v>120829</v>
      </c>
      <c r="H352" s="6"/>
    </row>
    <row r="353" spans="1:8" x14ac:dyDescent="0.35">
      <c r="A353" s="7">
        <v>46025</v>
      </c>
      <c r="B353" s="5" t="s">
        <v>77</v>
      </c>
      <c r="C353" s="5" t="s">
        <v>85</v>
      </c>
      <c r="D353" s="5" t="s">
        <v>37</v>
      </c>
      <c r="E353" s="5">
        <f t="shared" si="12"/>
        <v>1</v>
      </c>
      <c r="F353" s="5" t="str">
        <f t="shared" si="13"/>
        <v>その他予備費1実績</v>
      </c>
      <c r="G353" s="6">
        <v>3300</v>
      </c>
      <c r="H353" s="6" t="s">
        <v>103</v>
      </c>
    </row>
    <row r="354" spans="1:8" x14ac:dyDescent="0.35">
      <c r="A354" s="7">
        <v>46025</v>
      </c>
      <c r="B354" s="5" t="s">
        <v>89</v>
      </c>
      <c r="C354" s="5" t="s">
        <v>77</v>
      </c>
      <c r="D354" s="5" t="s">
        <v>37</v>
      </c>
      <c r="E354" s="5">
        <f t="shared" si="12"/>
        <v>1</v>
      </c>
      <c r="F354" s="5" t="str">
        <f t="shared" si="13"/>
        <v>娯楽費その他1実績</v>
      </c>
      <c r="G354" s="6">
        <v>7585</v>
      </c>
      <c r="H354" s="6" t="s">
        <v>104</v>
      </c>
    </row>
    <row r="355" spans="1:8" x14ac:dyDescent="0.35">
      <c r="A355" s="7">
        <v>46025</v>
      </c>
      <c r="B355" s="5" t="s">
        <v>3</v>
      </c>
      <c r="C355" s="5" t="s">
        <v>38</v>
      </c>
      <c r="D355" s="5" t="s">
        <v>37</v>
      </c>
      <c r="E355" s="5">
        <f t="shared" si="12"/>
        <v>1</v>
      </c>
      <c r="F355" s="5" t="str">
        <f t="shared" si="13"/>
        <v>生活費外食1実績</v>
      </c>
      <c r="G355" s="6">
        <v>14730</v>
      </c>
      <c r="H355" s="6" t="s">
        <v>105</v>
      </c>
    </row>
    <row r="356" spans="1:8" x14ac:dyDescent="0.35">
      <c r="A356" s="7">
        <v>46026</v>
      </c>
      <c r="B356" s="5" t="s">
        <v>71</v>
      </c>
      <c r="C356" s="5" t="s">
        <v>65</v>
      </c>
      <c r="D356" s="5" t="s">
        <v>37</v>
      </c>
      <c r="E356" s="5">
        <f t="shared" si="12"/>
        <v>1</v>
      </c>
      <c r="F356" s="5" t="str">
        <f t="shared" si="13"/>
        <v>服りょう1実績</v>
      </c>
      <c r="G356" s="6">
        <v>13680</v>
      </c>
      <c r="H356" s="6" t="s">
        <v>106</v>
      </c>
    </row>
    <row r="357" spans="1:8" x14ac:dyDescent="0.35">
      <c r="A357" s="7">
        <v>46024</v>
      </c>
      <c r="B357" s="5" t="s">
        <v>3</v>
      </c>
      <c r="C357" s="5" t="s">
        <v>38</v>
      </c>
      <c r="D357" s="5" t="s">
        <v>37</v>
      </c>
      <c r="E357" s="5">
        <f t="shared" si="12"/>
        <v>1</v>
      </c>
      <c r="F357" s="5" t="str">
        <f t="shared" si="13"/>
        <v>生活費外食1実績</v>
      </c>
      <c r="G357" s="6">
        <v>1404</v>
      </c>
      <c r="H357" s="6" t="s">
        <v>107</v>
      </c>
    </row>
    <row r="358" spans="1:8" x14ac:dyDescent="0.35">
      <c r="A358" s="7">
        <v>46026</v>
      </c>
      <c r="B358" s="5" t="s">
        <v>3</v>
      </c>
      <c r="C358" s="5" t="s">
        <v>38</v>
      </c>
      <c r="D358" s="5" t="s">
        <v>37</v>
      </c>
      <c r="E358" s="5">
        <f t="shared" si="12"/>
        <v>1</v>
      </c>
      <c r="F358" s="5" t="str">
        <f t="shared" si="13"/>
        <v>生活費外食1実績</v>
      </c>
      <c r="G358" s="6">
        <v>1120</v>
      </c>
      <c r="H358" s="6" t="s">
        <v>108</v>
      </c>
    </row>
    <row r="359" spans="1:8" x14ac:dyDescent="0.35">
      <c r="A359" s="7">
        <v>46026</v>
      </c>
      <c r="B359" s="5" t="s">
        <v>3</v>
      </c>
      <c r="C359" s="5" t="s">
        <v>38</v>
      </c>
      <c r="D359" s="5" t="s">
        <v>37</v>
      </c>
      <c r="E359" s="5">
        <f t="shared" si="12"/>
        <v>1</v>
      </c>
      <c r="F359" s="5" t="str">
        <f t="shared" si="13"/>
        <v>生活費外食1実績</v>
      </c>
      <c r="G359" s="6">
        <v>649</v>
      </c>
      <c r="H359" s="6" t="s">
        <v>109</v>
      </c>
    </row>
    <row r="360" spans="1:8" x14ac:dyDescent="0.35">
      <c r="A360" s="7">
        <v>46026</v>
      </c>
      <c r="B360" s="5" t="s">
        <v>3</v>
      </c>
      <c r="C360" s="5" t="s">
        <v>38</v>
      </c>
      <c r="D360" s="5" t="s">
        <v>37</v>
      </c>
      <c r="E360" s="5">
        <f t="shared" si="12"/>
        <v>1</v>
      </c>
      <c r="F360" s="5" t="str">
        <f t="shared" si="13"/>
        <v>生活費外食1実績</v>
      </c>
      <c r="G360" s="6">
        <v>1890</v>
      </c>
      <c r="H360" s="6" t="s">
        <v>110</v>
      </c>
    </row>
    <row r="361" spans="1:8" x14ac:dyDescent="0.35">
      <c r="A361" s="7">
        <v>46027</v>
      </c>
      <c r="B361" s="5" t="s">
        <v>75</v>
      </c>
      <c r="C361" s="5" t="s">
        <v>28</v>
      </c>
      <c r="D361" s="5" t="s">
        <v>37</v>
      </c>
      <c r="E361" s="5">
        <f t="shared" si="12"/>
        <v>1</v>
      </c>
      <c r="F361" s="5" t="str">
        <f t="shared" si="13"/>
        <v>医療費-1実績</v>
      </c>
      <c r="G361" s="6">
        <v>200</v>
      </c>
      <c r="H361" s="6" t="s">
        <v>111</v>
      </c>
    </row>
    <row r="362" spans="1:8" x14ac:dyDescent="0.35">
      <c r="A362" s="7">
        <v>46027</v>
      </c>
      <c r="B362" s="5" t="s">
        <v>74</v>
      </c>
      <c r="C362" s="5" t="s">
        <v>28</v>
      </c>
      <c r="D362" s="5" t="s">
        <v>37</v>
      </c>
      <c r="E362" s="5">
        <f t="shared" si="12"/>
        <v>1</v>
      </c>
      <c r="F362" s="5" t="str">
        <f t="shared" si="13"/>
        <v>化粧品-1実績</v>
      </c>
      <c r="G362" s="6">
        <v>1298</v>
      </c>
      <c r="H362" s="6" t="s">
        <v>112</v>
      </c>
    </row>
    <row r="363" spans="1:8" x14ac:dyDescent="0.35">
      <c r="A363" s="7">
        <v>46027</v>
      </c>
      <c r="B363" s="5" t="s">
        <v>74</v>
      </c>
      <c r="C363" s="5" t="s">
        <v>28</v>
      </c>
      <c r="D363" s="5" t="s">
        <v>37</v>
      </c>
      <c r="E363" s="5">
        <f t="shared" si="12"/>
        <v>1</v>
      </c>
      <c r="F363" s="5" t="str">
        <f t="shared" si="13"/>
        <v>化粧品-1実績</v>
      </c>
      <c r="G363" s="6">
        <v>1402</v>
      </c>
      <c r="H363" s="6" t="s">
        <v>113</v>
      </c>
    </row>
    <row r="364" spans="1:8" x14ac:dyDescent="0.35">
      <c r="A364" s="8">
        <v>46023</v>
      </c>
      <c r="B364" s="5" t="s">
        <v>46</v>
      </c>
      <c r="C364" s="5" t="s">
        <v>50</v>
      </c>
      <c r="D364" s="5" t="s">
        <v>19</v>
      </c>
      <c r="E364" s="5">
        <f t="shared" si="12"/>
        <v>1</v>
      </c>
      <c r="F364" s="5" t="str">
        <f t="shared" si="13"/>
        <v>サブスクpaypayゴールド1実績</v>
      </c>
      <c r="G364" s="6">
        <v>11000</v>
      </c>
      <c r="H364" s="6"/>
    </row>
    <row r="365" spans="1:8" x14ac:dyDescent="0.35">
      <c r="A365" s="7">
        <v>46032</v>
      </c>
      <c r="B365" s="5" t="s">
        <v>14</v>
      </c>
      <c r="C365" s="5" t="s">
        <v>28</v>
      </c>
      <c r="D365" s="5" t="s">
        <v>19</v>
      </c>
      <c r="E365" s="5">
        <f t="shared" ref="E365" si="14">MONTH(A365)</f>
        <v>1</v>
      </c>
      <c r="F365" s="5" t="str">
        <f t="shared" si="13"/>
        <v>化粧品-1実績</v>
      </c>
      <c r="G365" s="6">
        <v>2376</v>
      </c>
      <c r="H365" s="6" t="s">
        <v>114</v>
      </c>
    </row>
    <row r="366" spans="1:8" x14ac:dyDescent="0.35">
      <c r="A366" s="7">
        <v>46032</v>
      </c>
      <c r="B366" s="5" t="s">
        <v>1</v>
      </c>
      <c r="C366" s="5" t="s">
        <v>73</v>
      </c>
      <c r="D366" s="5" t="s">
        <v>19</v>
      </c>
      <c r="E366" s="5">
        <f t="shared" si="12"/>
        <v>1</v>
      </c>
      <c r="F366" s="5" t="str">
        <f t="shared" si="13"/>
        <v>服子供1実績</v>
      </c>
      <c r="G366" s="6">
        <v>3980</v>
      </c>
      <c r="H366" s="6" t="s">
        <v>115</v>
      </c>
    </row>
    <row r="367" spans="1:8" x14ac:dyDescent="0.35">
      <c r="A367" s="7">
        <v>46033</v>
      </c>
      <c r="B367" s="5" t="s">
        <v>1</v>
      </c>
      <c r="C367" s="5" t="s">
        <v>73</v>
      </c>
      <c r="D367" s="5" t="s">
        <v>19</v>
      </c>
      <c r="E367" s="5">
        <f t="shared" si="12"/>
        <v>1</v>
      </c>
      <c r="F367" s="5" t="str">
        <f t="shared" si="13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2"/>
        <v>1</v>
      </c>
      <c r="F368" s="5" t="str">
        <f t="shared" si="13"/>
        <v>服子供1実績</v>
      </c>
      <c r="G368" s="6">
        <v>3267</v>
      </c>
      <c r="H368" s="6"/>
    </row>
    <row r="369" spans="1:8" x14ac:dyDescent="0.35">
      <c r="A369" s="7">
        <v>46034</v>
      </c>
      <c r="B369" s="5" t="s">
        <v>1</v>
      </c>
      <c r="C369" s="5" t="s">
        <v>4</v>
      </c>
      <c r="D369" s="5" t="s">
        <v>19</v>
      </c>
      <c r="E369" s="5">
        <f t="shared" si="12"/>
        <v>1</v>
      </c>
      <c r="F369" s="5" t="str">
        <f t="shared" si="13"/>
        <v>服ゆっこ1実績</v>
      </c>
      <c r="G369" s="6">
        <v>1990</v>
      </c>
      <c r="H369" s="6" t="s">
        <v>115</v>
      </c>
    </row>
    <row r="370" spans="1:8" x14ac:dyDescent="0.35">
      <c r="A370" s="7">
        <v>46039</v>
      </c>
      <c r="B370" s="5" t="s">
        <v>3</v>
      </c>
      <c r="C370" s="5" t="s">
        <v>9</v>
      </c>
      <c r="D370" s="5" t="s">
        <v>19</v>
      </c>
      <c r="E370" s="5">
        <f t="shared" si="12"/>
        <v>1</v>
      </c>
      <c r="F370" s="5" t="str">
        <f t="shared" si="13"/>
        <v>生活費外食1実績</v>
      </c>
      <c r="G370" s="6">
        <v>4730</v>
      </c>
      <c r="H370" s="6" t="s">
        <v>116</v>
      </c>
    </row>
    <row r="371" spans="1:8" x14ac:dyDescent="0.35">
      <c r="A371" s="7">
        <v>46035</v>
      </c>
      <c r="B371" s="5" t="s">
        <v>117</v>
      </c>
      <c r="C371" s="5" t="s">
        <v>118</v>
      </c>
      <c r="D371" s="5" t="s">
        <v>119</v>
      </c>
      <c r="E371" s="5">
        <f t="shared" si="12"/>
        <v>1</v>
      </c>
      <c r="F371" s="5" t="str">
        <f t="shared" si="13"/>
        <v>学費ことは1実績</v>
      </c>
      <c r="G371" s="6">
        <v>8880</v>
      </c>
      <c r="H371" s="6"/>
    </row>
    <row r="372" spans="1:8" x14ac:dyDescent="0.35">
      <c r="A372" s="7">
        <v>46042</v>
      </c>
      <c r="B372" s="5" t="s">
        <v>15</v>
      </c>
      <c r="C372" s="5" t="s">
        <v>55</v>
      </c>
      <c r="D372" s="5" t="s">
        <v>19</v>
      </c>
      <c r="E372" s="5">
        <f t="shared" si="12"/>
        <v>1</v>
      </c>
      <c r="F372" s="5" t="str">
        <f t="shared" si="13"/>
        <v>習い事バレエ1実績</v>
      </c>
      <c r="G372" s="6">
        <v>4400</v>
      </c>
      <c r="H372" s="6" t="s">
        <v>121</v>
      </c>
    </row>
    <row r="373" spans="1:8" x14ac:dyDescent="0.35">
      <c r="A373" s="7">
        <v>46044</v>
      </c>
      <c r="B373" s="5" t="s">
        <v>1</v>
      </c>
      <c r="C373" s="5" t="s">
        <v>73</v>
      </c>
      <c r="D373" s="5" t="s">
        <v>19</v>
      </c>
      <c r="E373" s="5">
        <f t="shared" ref="E373:E374" si="15">MONTH(A373)</f>
        <v>1</v>
      </c>
      <c r="F373" s="5" t="str">
        <f t="shared" ref="F373:F374" si="16">B373&amp;C373&amp;E373&amp;D373</f>
        <v>服子供1実績</v>
      </c>
      <c r="G373" s="6">
        <v>3461</v>
      </c>
      <c r="H373" s="6" t="s">
        <v>122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5"/>
        <v>1</v>
      </c>
      <c r="F374" s="5" t="str">
        <f t="shared" si="16"/>
        <v>服子供1実績</v>
      </c>
      <c r="G374" s="6">
        <v>3102</v>
      </c>
      <c r="H374" s="6" t="s">
        <v>123</v>
      </c>
    </row>
    <row r="375" spans="1:8" x14ac:dyDescent="0.35">
      <c r="A375" s="7">
        <v>46047</v>
      </c>
      <c r="B375" s="5" t="s">
        <v>124</v>
      </c>
      <c r="C375" s="5" t="s">
        <v>125</v>
      </c>
      <c r="D375" s="5" t="s">
        <v>126</v>
      </c>
      <c r="E375" s="5">
        <f t="shared" ref="E375:E438" si="17">MONTH(A375)</f>
        <v>1</v>
      </c>
      <c r="F375" s="5" t="str">
        <f t="shared" si="13"/>
        <v>光熱費電気1実績</v>
      </c>
      <c r="G375" s="6">
        <v>17942</v>
      </c>
      <c r="H375" s="6"/>
    </row>
    <row r="376" spans="1:8" x14ac:dyDescent="0.35">
      <c r="A376" s="7">
        <v>46047</v>
      </c>
      <c r="B376" s="5" t="s">
        <v>13</v>
      </c>
      <c r="C376" s="5" t="s">
        <v>127</v>
      </c>
      <c r="D376" s="5" t="s">
        <v>126</v>
      </c>
      <c r="E376" s="5">
        <f t="shared" si="17"/>
        <v>1</v>
      </c>
      <c r="F376" s="5" t="str">
        <f t="shared" si="13"/>
        <v>通信料GPS1実績</v>
      </c>
      <c r="G376" s="6">
        <v>539</v>
      </c>
      <c r="H376" s="6"/>
    </row>
    <row r="377" spans="1:8" x14ac:dyDescent="0.35">
      <c r="A377" s="7">
        <v>46047</v>
      </c>
      <c r="B377" s="5" t="s">
        <v>13</v>
      </c>
      <c r="C377" s="5" t="s">
        <v>31</v>
      </c>
      <c r="D377" s="5" t="s">
        <v>126</v>
      </c>
      <c r="E377" s="5">
        <f t="shared" si="17"/>
        <v>1</v>
      </c>
      <c r="F377" s="5" t="str">
        <f t="shared" si="13"/>
        <v>通信料ゆっこ1実績</v>
      </c>
      <c r="G377" s="6">
        <v>4122</v>
      </c>
      <c r="H377" s="6" t="s">
        <v>128</v>
      </c>
    </row>
    <row r="378" spans="1:8" x14ac:dyDescent="0.35">
      <c r="A378" s="7">
        <v>46047</v>
      </c>
      <c r="B378" s="5" t="s">
        <v>13</v>
      </c>
      <c r="C378" s="5" t="s">
        <v>2</v>
      </c>
      <c r="D378" s="5" t="s">
        <v>126</v>
      </c>
      <c r="E378" s="5">
        <f t="shared" si="17"/>
        <v>1</v>
      </c>
      <c r="F378" s="5" t="str">
        <f t="shared" si="13"/>
        <v>通信料りょう1実績</v>
      </c>
      <c r="G378" s="6">
        <f>3900-539</f>
        <v>3361</v>
      </c>
      <c r="H378" s="6"/>
    </row>
    <row r="379" spans="1:8" x14ac:dyDescent="0.35">
      <c r="A379" s="7">
        <v>46047</v>
      </c>
      <c r="B379" s="5" t="s">
        <v>15</v>
      </c>
      <c r="C379" s="5" t="s">
        <v>57</v>
      </c>
      <c r="D379" s="5" t="s">
        <v>126</v>
      </c>
      <c r="E379" s="5">
        <f t="shared" si="17"/>
        <v>1</v>
      </c>
      <c r="F379" s="5" t="str">
        <f t="shared" si="13"/>
        <v>習い事英会話1実績</v>
      </c>
      <c r="G379" s="6">
        <v>2980</v>
      </c>
      <c r="H379" s="6"/>
    </row>
    <row r="380" spans="1:8" x14ac:dyDescent="0.35">
      <c r="A380" s="7">
        <v>46027</v>
      </c>
      <c r="B380" s="5" t="s">
        <v>129</v>
      </c>
      <c r="C380" s="5" t="s">
        <v>130</v>
      </c>
      <c r="D380" s="5" t="s">
        <v>126</v>
      </c>
      <c r="E380" s="5">
        <f t="shared" si="17"/>
        <v>1</v>
      </c>
      <c r="F380" s="5" t="str">
        <f t="shared" si="13"/>
        <v>学費みなと1実績</v>
      </c>
      <c r="G380" s="6">
        <v>5150</v>
      </c>
      <c r="H380" s="6" t="s">
        <v>131</v>
      </c>
    </row>
    <row r="381" spans="1:8" x14ac:dyDescent="0.35">
      <c r="A381" s="7">
        <v>46047</v>
      </c>
      <c r="B381" s="5" t="s">
        <v>132</v>
      </c>
      <c r="C381" s="5" t="s">
        <v>133</v>
      </c>
      <c r="D381" s="5" t="s">
        <v>126</v>
      </c>
      <c r="E381" s="5">
        <f t="shared" si="17"/>
        <v>1</v>
      </c>
      <c r="F381" s="5" t="str">
        <f t="shared" si="13"/>
        <v>サブスクiCloud1実績</v>
      </c>
      <c r="G381" s="6">
        <v>450</v>
      </c>
      <c r="H381" s="6"/>
    </row>
    <row r="382" spans="1:8" x14ac:dyDescent="0.35">
      <c r="A382" s="7">
        <v>46047</v>
      </c>
      <c r="B382" s="5" t="s">
        <v>134</v>
      </c>
      <c r="C382" s="5" t="s">
        <v>59</v>
      </c>
      <c r="D382" s="5" t="s">
        <v>126</v>
      </c>
      <c r="E382" s="5">
        <f t="shared" si="17"/>
        <v>1</v>
      </c>
      <c r="F382" s="5" t="str">
        <f t="shared" si="13"/>
        <v>保険りょう死亡1実績</v>
      </c>
      <c r="G382" s="6">
        <v>1780</v>
      </c>
      <c r="H382" s="6"/>
    </row>
    <row r="383" spans="1:8" x14ac:dyDescent="0.35">
      <c r="A383" s="7">
        <v>46047</v>
      </c>
      <c r="B383" s="5" t="s">
        <v>134</v>
      </c>
      <c r="C383" s="5" t="s">
        <v>60</v>
      </c>
      <c r="D383" s="5" t="s">
        <v>126</v>
      </c>
      <c r="E383" s="5">
        <f t="shared" si="17"/>
        <v>1</v>
      </c>
      <c r="F383" s="5" t="str">
        <f t="shared" si="13"/>
        <v>保険りょう医療1実績</v>
      </c>
      <c r="G383" s="6">
        <v>2572</v>
      </c>
      <c r="H383" s="6"/>
    </row>
    <row r="384" spans="1:8" x14ac:dyDescent="0.35">
      <c r="A384" s="7">
        <v>46047</v>
      </c>
      <c r="B384" s="5" t="s">
        <v>11</v>
      </c>
      <c r="C384" s="5" t="s">
        <v>85</v>
      </c>
      <c r="D384" s="5" t="s">
        <v>19</v>
      </c>
      <c r="E384" s="5">
        <f t="shared" si="17"/>
        <v>1</v>
      </c>
      <c r="F384" s="5" t="str">
        <f t="shared" si="13"/>
        <v>その他予備費1実績</v>
      </c>
      <c r="G384" s="6">
        <v>4990</v>
      </c>
      <c r="H384" s="6"/>
    </row>
    <row r="385" spans="1:17" x14ac:dyDescent="0.35">
      <c r="A385" s="7">
        <v>46047</v>
      </c>
      <c r="B385" s="5" t="s">
        <v>1</v>
      </c>
      <c r="C385" s="5" t="s">
        <v>73</v>
      </c>
      <c r="D385" s="5" t="s">
        <v>19</v>
      </c>
      <c r="E385" s="5">
        <f t="shared" si="17"/>
        <v>1</v>
      </c>
      <c r="F385" s="5" t="str">
        <f t="shared" si="13"/>
        <v>服子供1実績</v>
      </c>
      <c r="G385" s="6">
        <v>3260</v>
      </c>
      <c r="H385" s="6"/>
      <c r="Q385" s="9"/>
    </row>
    <row r="386" spans="1:17" x14ac:dyDescent="0.35">
      <c r="A386" s="7">
        <v>46047</v>
      </c>
      <c r="B386" s="5" t="s">
        <v>87</v>
      </c>
      <c r="C386" s="5" t="s">
        <v>31</v>
      </c>
      <c r="D386" s="5" t="s">
        <v>19</v>
      </c>
      <c r="E386" s="5">
        <f t="shared" si="17"/>
        <v>1</v>
      </c>
      <c r="F386" s="5" t="str">
        <f>B386&amp;C386&amp;E386&amp;D386</f>
        <v>こずかいゆっこ1実績</v>
      </c>
      <c r="G386" s="6">
        <v>25000</v>
      </c>
      <c r="H386" s="6"/>
    </row>
    <row r="387" spans="1:17" x14ac:dyDescent="0.35">
      <c r="A387" s="7">
        <v>46047</v>
      </c>
      <c r="B387" s="5" t="s">
        <v>87</v>
      </c>
      <c r="C387" s="5" t="s">
        <v>2</v>
      </c>
      <c r="D387" s="5" t="s">
        <v>19</v>
      </c>
      <c r="E387" s="5">
        <f t="shared" si="17"/>
        <v>1</v>
      </c>
      <c r="F387" s="5" t="str">
        <f t="shared" ref="F387:F447" si="18">B387&amp;C387&amp;E387&amp;D387</f>
        <v>こずかいりょう1実績</v>
      </c>
      <c r="G387" s="6">
        <v>25000</v>
      </c>
      <c r="H387" s="6"/>
    </row>
    <row r="388" spans="1:17" x14ac:dyDescent="0.35">
      <c r="A388" s="7">
        <v>46047</v>
      </c>
      <c r="B388" s="5" t="s">
        <v>1</v>
      </c>
      <c r="C388" s="5" t="s">
        <v>4</v>
      </c>
      <c r="D388" s="5" t="s">
        <v>19</v>
      </c>
      <c r="E388" s="5">
        <f t="shared" si="17"/>
        <v>1</v>
      </c>
      <c r="F388" s="5" t="str">
        <f>B388&amp;C388&amp;E388&amp;D388</f>
        <v>服ゆっこ1実績</v>
      </c>
      <c r="G388" s="6">
        <v>3608</v>
      </c>
      <c r="H388" s="6"/>
    </row>
    <row r="389" spans="1:17" x14ac:dyDescent="0.35">
      <c r="A389" s="7">
        <v>46047</v>
      </c>
      <c r="B389" s="5" t="s">
        <v>1</v>
      </c>
      <c r="C389" s="5" t="s">
        <v>73</v>
      </c>
      <c r="D389" s="5" t="s">
        <v>19</v>
      </c>
      <c r="E389" s="5">
        <f t="shared" si="17"/>
        <v>1</v>
      </c>
      <c r="F389" s="5" t="str">
        <f t="shared" si="18"/>
        <v>服子供1実績</v>
      </c>
      <c r="G389" s="6">
        <v>2937</v>
      </c>
      <c r="H389" s="6"/>
    </row>
    <row r="390" spans="1:17" x14ac:dyDescent="0.35">
      <c r="A390" s="7">
        <v>46049</v>
      </c>
      <c r="B390" s="5" t="s">
        <v>136</v>
      </c>
      <c r="C390" s="5" t="s">
        <v>137</v>
      </c>
      <c r="D390" s="5" t="s">
        <v>135</v>
      </c>
      <c r="E390" s="5">
        <f t="shared" si="17"/>
        <v>1</v>
      </c>
      <c r="F390" s="5" t="str">
        <f t="shared" si="18"/>
        <v>光熱費ガス1実績</v>
      </c>
      <c r="G390" s="6">
        <v>12970</v>
      </c>
      <c r="H390" s="6"/>
    </row>
    <row r="391" spans="1:17" x14ac:dyDescent="0.35">
      <c r="A391" s="7">
        <v>46053</v>
      </c>
      <c r="B391" s="5" t="s">
        <v>138</v>
      </c>
      <c r="C391" s="5" t="s">
        <v>139</v>
      </c>
      <c r="D391" s="5" t="s">
        <v>19</v>
      </c>
      <c r="E391" s="5">
        <f t="shared" si="17"/>
        <v>1</v>
      </c>
      <c r="F391" s="5" t="str">
        <f t="shared" si="18"/>
        <v>奨学金-1実績</v>
      </c>
      <c r="G391" s="6">
        <v>10125</v>
      </c>
      <c r="H391" s="6"/>
    </row>
    <row r="392" spans="1:17" x14ac:dyDescent="0.35">
      <c r="A392" s="7">
        <v>46053</v>
      </c>
      <c r="B392" s="5" t="s">
        <v>15</v>
      </c>
      <c r="C392" s="5" t="s">
        <v>55</v>
      </c>
      <c r="D392" s="5" t="s">
        <v>19</v>
      </c>
      <c r="E392" s="5">
        <f t="shared" si="17"/>
        <v>1</v>
      </c>
      <c r="F392" s="5" t="str">
        <f t="shared" si="18"/>
        <v>習い事バレエ1実績</v>
      </c>
      <c r="G392" s="6">
        <v>9020</v>
      </c>
      <c r="H392" s="6"/>
    </row>
    <row r="393" spans="1:17" x14ac:dyDescent="0.35">
      <c r="A393" s="7">
        <v>46053</v>
      </c>
      <c r="B393" s="5" t="s">
        <v>15</v>
      </c>
      <c r="C393" s="5" t="s">
        <v>54</v>
      </c>
      <c r="D393" s="5" t="s">
        <v>19</v>
      </c>
      <c r="E393" s="5">
        <f t="shared" si="17"/>
        <v>1</v>
      </c>
      <c r="F393" s="5" t="str">
        <f t="shared" si="18"/>
        <v>習い事公文1実績</v>
      </c>
      <c r="G393" s="6">
        <v>14300</v>
      </c>
      <c r="H393" s="6"/>
    </row>
    <row r="394" spans="1:17" x14ac:dyDescent="0.35">
      <c r="A394" s="7">
        <v>46053</v>
      </c>
      <c r="B394" s="5" t="s">
        <v>6</v>
      </c>
      <c r="C394" s="5" t="s">
        <v>5</v>
      </c>
      <c r="D394" s="5" t="s">
        <v>19</v>
      </c>
      <c r="E394" s="5">
        <f t="shared" si="17"/>
        <v>1</v>
      </c>
      <c r="F394" s="5" t="str">
        <f t="shared" si="18"/>
        <v>学費みなと1実績</v>
      </c>
      <c r="G394" s="6">
        <v>2280</v>
      </c>
      <c r="H394" s="6" t="s">
        <v>141</v>
      </c>
    </row>
    <row r="395" spans="1:17" x14ac:dyDescent="0.35">
      <c r="A395" s="7">
        <v>46053</v>
      </c>
      <c r="B395" s="5" t="s">
        <v>140</v>
      </c>
      <c r="C395" s="5" t="s">
        <v>61</v>
      </c>
      <c r="D395" s="5" t="s">
        <v>19</v>
      </c>
      <c r="E395" s="5">
        <f t="shared" si="17"/>
        <v>1</v>
      </c>
      <c r="F395" s="5" t="str">
        <f t="shared" si="18"/>
        <v>保険ゆっこ医療1実績</v>
      </c>
      <c r="G395" s="6">
        <v>2924</v>
      </c>
      <c r="H395" s="6"/>
    </row>
    <row r="396" spans="1:17" x14ac:dyDescent="0.35">
      <c r="A396" s="7">
        <v>46052</v>
      </c>
      <c r="B396" s="5" t="s">
        <v>142</v>
      </c>
      <c r="C396" s="5" t="s">
        <v>139</v>
      </c>
      <c r="D396" s="5" t="s">
        <v>19</v>
      </c>
      <c r="E396" s="5">
        <f t="shared" si="17"/>
        <v>1</v>
      </c>
      <c r="F396" s="5" t="str">
        <f t="shared" si="18"/>
        <v>化粧品-1実績</v>
      </c>
      <c r="G396" s="6">
        <v>418</v>
      </c>
      <c r="H396" s="6" t="s">
        <v>143</v>
      </c>
    </row>
    <row r="397" spans="1:17" x14ac:dyDescent="0.35">
      <c r="A397" s="7">
        <v>46053</v>
      </c>
      <c r="B397" s="5" t="s">
        <v>3</v>
      </c>
      <c r="C397" s="5" t="s">
        <v>20</v>
      </c>
      <c r="D397" s="5" t="s">
        <v>19</v>
      </c>
      <c r="E397" s="5">
        <f t="shared" si="17"/>
        <v>1</v>
      </c>
      <c r="F397" s="5" t="str">
        <f t="shared" si="18"/>
        <v>生活費-1実績</v>
      </c>
      <c r="G397" s="6">
        <v>123236</v>
      </c>
      <c r="H397" s="6"/>
    </row>
    <row r="398" spans="1:17" x14ac:dyDescent="0.35">
      <c r="A398" s="7">
        <v>46053</v>
      </c>
      <c r="B398" s="5" t="s">
        <v>14</v>
      </c>
      <c r="C398" s="5" t="s">
        <v>20</v>
      </c>
      <c r="D398" s="5" t="s">
        <v>19</v>
      </c>
      <c r="E398" s="5">
        <f t="shared" ref="E398" si="19">MONTH(A398)</f>
        <v>1</v>
      </c>
      <c r="F398" s="5" t="str">
        <f t="shared" ref="F398" si="20">B398&amp;C398&amp;E398&amp;D398</f>
        <v>化粧品-1実績</v>
      </c>
      <c r="G398" s="6">
        <v>1672</v>
      </c>
      <c r="H398" s="6" t="s">
        <v>144</v>
      </c>
    </row>
    <row r="399" spans="1:17" x14ac:dyDescent="0.35">
      <c r="A399" s="7">
        <v>46059</v>
      </c>
      <c r="B399" s="5" t="s">
        <v>7</v>
      </c>
      <c r="C399" s="5" t="s">
        <v>145</v>
      </c>
      <c r="D399" s="5" t="s">
        <v>19</v>
      </c>
      <c r="E399" s="5">
        <f t="shared" si="17"/>
        <v>2</v>
      </c>
      <c r="F399" s="5" t="str">
        <f t="shared" si="18"/>
        <v>光熱費電気2実績</v>
      </c>
      <c r="G399" s="6">
        <v>24179</v>
      </c>
      <c r="H399" s="6" t="s">
        <v>147</v>
      </c>
    </row>
    <row r="400" spans="1:17" x14ac:dyDescent="0.35">
      <c r="A400" s="7">
        <v>46059</v>
      </c>
      <c r="B400" s="5" t="s">
        <v>7</v>
      </c>
      <c r="C400" s="5" t="s">
        <v>146</v>
      </c>
      <c r="D400" s="5" t="s">
        <v>19</v>
      </c>
      <c r="E400" s="5">
        <f t="shared" si="17"/>
        <v>2</v>
      </c>
      <c r="F400" s="5" t="str">
        <f t="shared" si="18"/>
        <v>光熱費水道2実績</v>
      </c>
      <c r="G400" s="6">
        <v>16087</v>
      </c>
      <c r="H400" s="6" t="s">
        <v>148</v>
      </c>
    </row>
    <row r="401" spans="1:8" x14ac:dyDescent="0.35">
      <c r="A401" s="7">
        <v>46054</v>
      </c>
      <c r="B401" s="5" t="s">
        <v>69</v>
      </c>
      <c r="C401" s="5" t="s">
        <v>9</v>
      </c>
      <c r="D401" s="5" t="s">
        <v>19</v>
      </c>
      <c r="E401" s="5">
        <f t="shared" si="17"/>
        <v>2</v>
      </c>
      <c r="F401" s="5" t="str">
        <f t="shared" si="18"/>
        <v>祝い事外食2実績</v>
      </c>
      <c r="G401" s="6">
        <v>16290</v>
      </c>
      <c r="H401" s="6" t="s">
        <v>149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7"/>
        <v>2</v>
      </c>
      <c r="F402" s="5" t="str">
        <f t="shared" si="18"/>
        <v>祝い事外食2実績</v>
      </c>
      <c r="G402" s="6">
        <v>2641</v>
      </c>
      <c r="H402" s="6" t="s">
        <v>150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7"/>
        <v>2</v>
      </c>
      <c r="F403" s="5" t="str">
        <f t="shared" si="18"/>
        <v>祝い事外食2実績</v>
      </c>
      <c r="G403" s="6">
        <v>5920</v>
      </c>
      <c r="H403" s="6" t="s">
        <v>151</v>
      </c>
    </row>
    <row r="404" spans="1:8" x14ac:dyDescent="0.35">
      <c r="A404" s="7">
        <v>46054</v>
      </c>
      <c r="B404" s="5" t="s">
        <v>69</v>
      </c>
      <c r="C404" s="5" t="s">
        <v>155</v>
      </c>
      <c r="D404" s="5" t="s">
        <v>19</v>
      </c>
      <c r="E404" s="5">
        <f t="shared" si="17"/>
        <v>2</v>
      </c>
      <c r="F404" s="5" t="str">
        <f t="shared" si="18"/>
        <v>祝い事ゆっこ2実績</v>
      </c>
      <c r="G404" s="6">
        <v>5319</v>
      </c>
      <c r="H404" s="6" t="s">
        <v>152</v>
      </c>
    </row>
    <row r="405" spans="1:8" x14ac:dyDescent="0.35">
      <c r="A405" s="7">
        <v>46054</v>
      </c>
      <c r="B405" s="5" t="s">
        <v>69</v>
      </c>
      <c r="C405" s="5" t="s">
        <v>155</v>
      </c>
      <c r="D405" s="5" t="s">
        <v>19</v>
      </c>
      <c r="E405" s="5">
        <f t="shared" si="17"/>
        <v>2</v>
      </c>
      <c r="F405" s="5" t="str">
        <f t="shared" si="18"/>
        <v>祝い事ゆっこ2実績</v>
      </c>
      <c r="G405" s="6">
        <v>3564</v>
      </c>
      <c r="H405" s="6" t="s">
        <v>153</v>
      </c>
    </row>
    <row r="406" spans="1:8" x14ac:dyDescent="0.35">
      <c r="A406" s="7">
        <v>46054</v>
      </c>
      <c r="B406" s="5" t="s">
        <v>69</v>
      </c>
      <c r="C406" s="5" t="s">
        <v>9</v>
      </c>
      <c r="D406" s="5" t="s">
        <v>19</v>
      </c>
      <c r="E406" s="5">
        <f t="shared" si="17"/>
        <v>2</v>
      </c>
      <c r="F406" s="5" t="str">
        <f t="shared" si="18"/>
        <v>祝い事外食2実績</v>
      </c>
      <c r="G406" s="6">
        <v>2940</v>
      </c>
      <c r="H406" s="6" t="s">
        <v>154</v>
      </c>
    </row>
    <row r="407" spans="1:8" x14ac:dyDescent="0.35">
      <c r="A407" s="7">
        <v>46055</v>
      </c>
      <c r="B407" s="5" t="s">
        <v>6</v>
      </c>
      <c r="C407" s="5" t="s">
        <v>5</v>
      </c>
      <c r="D407" s="5" t="s">
        <v>19</v>
      </c>
      <c r="E407" s="5">
        <f t="shared" ref="E407:E409" si="21">MONTH(A407)</f>
        <v>2</v>
      </c>
      <c r="F407" s="5" t="str">
        <f t="shared" si="18"/>
        <v>学費みなと2実績</v>
      </c>
      <c r="G407" s="6">
        <v>5150</v>
      </c>
      <c r="H407" s="6" t="s">
        <v>33</v>
      </c>
    </row>
    <row r="408" spans="1:8" x14ac:dyDescent="0.35">
      <c r="A408" s="7">
        <v>46055</v>
      </c>
      <c r="B408" s="5" t="s">
        <v>14</v>
      </c>
      <c r="C408" s="5" t="s">
        <v>20</v>
      </c>
      <c r="D408" s="5" t="s">
        <v>19</v>
      </c>
      <c r="E408" s="5">
        <f t="shared" si="21"/>
        <v>2</v>
      </c>
      <c r="F408" s="5" t="str">
        <f t="shared" si="18"/>
        <v>化粧品-2実績</v>
      </c>
      <c r="G408" s="6">
        <v>1980</v>
      </c>
      <c r="H408" s="6" t="s">
        <v>156</v>
      </c>
    </row>
    <row r="409" spans="1:8" x14ac:dyDescent="0.35">
      <c r="A409" s="7">
        <v>46061</v>
      </c>
      <c r="B409" s="5" t="s">
        <v>15</v>
      </c>
      <c r="C409" s="5" t="s">
        <v>55</v>
      </c>
      <c r="D409" s="5" t="s">
        <v>19</v>
      </c>
      <c r="E409" s="5">
        <f t="shared" si="21"/>
        <v>2</v>
      </c>
      <c r="F409" s="5" t="str">
        <f t="shared" ref="F409" si="22">B409&amp;C409&amp;E409&amp;D409</f>
        <v>習い事バレエ2実績</v>
      </c>
      <c r="G409" s="6">
        <v>1000</v>
      </c>
      <c r="H409" s="6" t="s">
        <v>157</v>
      </c>
    </row>
    <row r="410" spans="1:8" x14ac:dyDescent="0.35">
      <c r="A410" s="7">
        <v>46058</v>
      </c>
      <c r="B410" s="5" t="s">
        <v>161</v>
      </c>
      <c r="C410" s="5" t="s">
        <v>162</v>
      </c>
      <c r="D410" s="5" t="s">
        <v>19</v>
      </c>
      <c r="E410" s="5">
        <f t="shared" si="17"/>
        <v>2</v>
      </c>
      <c r="F410" s="5" t="str">
        <f t="shared" si="18"/>
        <v>生活費外食2実績</v>
      </c>
      <c r="G410" s="6">
        <v>1420</v>
      </c>
      <c r="H410" s="6" t="s">
        <v>163</v>
      </c>
    </row>
    <row r="411" spans="1:8" x14ac:dyDescent="0.35">
      <c r="A411" s="7">
        <v>46058</v>
      </c>
      <c r="B411" s="5" t="s">
        <v>159</v>
      </c>
      <c r="C411" s="5" t="s">
        <v>160</v>
      </c>
      <c r="D411" s="5" t="s">
        <v>19</v>
      </c>
      <c r="E411" s="5">
        <f t="shared" si="17"/>
        <v>2</v>
      </c>
      <c r="F411" s="5" t="str">
        <f t="shared" si="18"/>
        <v>医療費-2実績</v>
      </c>
      <c r="G411" s="6">
        <v>200</v>
      </c>
      <c r="H411" s="6" t="s">
        <v>158</v>
      </c>
    </row>
    <row r="412" spans="1:8" x14ac:dyDescent="0.35">
      <c r="A412" s="7">
        <v>46060</v>
      </c>
      <c r="B412" s="5" t="s">
        <v>1</v>
      </c>
      <c r="C412" s="5" t="s">
        <v>73</v>
      </c>
      <c r="D412" s="5" t="s">
        <v>19</v>
      </c>
      <c r="E412" s="5">
        <f t="shared" si="17"/>
        <v>2</v>
      </c>
      <c r="F412" s="5" t="str">
        <f t="shared" si="18"/>
        <v>服子供2実績</v>
      </c>
      <c r="G412" s="6">
        <v>1494</v>
      </c>
      <c r="H412" s="6" t="s">
        <v>164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7"/>
        <v>2</v>
      </c>
      <c r="F413" s="5" t="str">
        <f t="shared" si="18"/>
        <v>服子供2実績</v>
      </c>
      <c r="G413" s="6">
        <v>880</v>
      </c>
      <c r="H413" s="6" t="s">
        <v>165</v>
      </c>
    </row>
    <row r="414" spans="1:8" x14ac:dyDescent="0.35">
      <c r="A414" s="7">
        <v>46061</v>
      </c>
      <c r="B414" s="5" t="s">
        <v>3</v>
      </c>
      <c r="C414" s="5" t="s">
        <v>9</v>
      </c>
      <c r="D414" s="5" t="s">
        <v>19</v>
      </c>
      <c r="E414" s="5">
        <f t="shared" ref="E414" si="23">MONTH(A414)</f>
        <v>2</v>
      </c>
      <c r="F414" s="5" t="str">
        <f t="shared" ref="F414" si="24">B414&amp;C414&amp;E414&amp;D414</f>
        <v>生活費外食2実績</v>
      </c>
      <c r="G414" s="6">
        <v>5566</v>
      </c>
      <c r="H414" s="6" t="s">
        <v>166</v>
      </c>
    </row>
    <row r="415" spans="1:8" x14ac:dyDescent="0.35">
      <c r="A415" s="7">
        <v>46061</v>
      </c>
      <c r="B415" s="5" t="s">
        <v>14</v>
      </c>
      <c r="C415" s="5" t="s">
        <v>20</v>
      </c>
      <c r="D415" s="5" t="s">
        <v>19</v>
      </c>
      <c r="E415" s="5">
        <f t="shared" si="17"/>
        <v>2</v>
      </c>
      <c r="F415" s="5" t="str">
        <f t="shared" si="18"/>
        <v>化粧品-2実績</v>
      </c>
      <c r="G415" s="6">
        <v>5900</v>
      </c>
      <c r="H415" s="6" t="s">
        <v>170</v>
      </c>
    </row>
    <row r="416" spans="1:8" x14ac:dyDescent="0.35">
      <c r="A416" s="7">
        <v>46061</v>
      </c>
      <c r="B416" s="5" t="s">
        <v>6</v>
      </c>
      <c r="C416" s="5" t="s">
        <v>8</v>
      </c>
      <c r="D416" s="5" t="s">
        <v>19</v>
      </c>
      <c r="E416" s="5">
        <f t="shared" si="17"/>
        <v>2</v>
      </c>
      <c r="F416" s="5" t="str">
        <f t="shared" si="18"/>
        <v>学費ことは2実績</v>
      </c>
      <c r="G416" s="6">
        <v>1890</v>
      </c>
      <c r="H416" s="6" t="s">
        <v>169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7"/>
        <v>2</v>
      </c>
      <c r="F417" s="5" t="str">
        <f t="shared" si="18"/>
        <v>学費ことは2実績</v>
      </c>
      <c r="G417" s="6">
        <v>8880</v>
      </c>
      <c r="H417" s="6"/>
    </row>
    <row r="418" spans="1:8" x14ac:dyDescent="0.35">
      <c r="A418" s="7">
        <v>46061</v>
      </c>
      <c r="B418" s="5" t="s">
        <v>167</v>
      </c>
      <c r="C418" s="5" t="s">
        <v>168</v>
      </c>
      <c r="D418" s="5" t="s">
        <v>19</v>
      </c>
      <c r="E418" s="5">
        <f t="shared" si="17"/>
        <v>2</v>
      </c>
      <c r="F418" s="5" t="str">
        <f t="shared" si="18"/>
        <v>服りょう2実績</v>
      </c>
      <c r="G418" s="6">
        <v>3980</v>
      </c>
      <c r="H418" s="6" t="s">
        <v>115</v>
      </c>
    </row>
    <row r="419" spans="1:8" x14ac:dyDescent="0.35">
      <c r="A419" s="7">
        <v>46082</v>
      </c>
      <c r="B419" s="5" t="s">
        <v>171</v>
      </c>
      <c r="C419" s="5" t="s">
        <v>172</v>
      </c>
      <c r="D419" s="5" t="s">
        <v>19</v>
      </c>
      <c r="E419" s="5">
        <f t="shared" si="17"/>
        <v>3</v>
      </c>
      <c r="F419" s="5" t="str">
        <f t="shared" si="18"/>
        <v>光熱費電気3実績</v>
      </c>
      <c r="G419" s="6">
        <v>24039</v>
      </c>
      <c r="H419" s="6" t="s">
        <v>173</v>
      </c>
    </row>
    <row r="420" spans="1:8" x14ac:dyDescent="0.35">
      <c r="A420" s="7">
        <v>46064</v>
      </c>
      <c r="B420" s="5" t="s">
        <v>174</v>
      </c>
      <c r="C420" s="5" t="s">
        <v>5</v>
      </c>
      <c r="D420" s="5" t="s">
        <v>19</v>
      </c>
      <c r="E420" s="5">
        <f t="shared" si="17"/>
        <v>2</v>
      </c>
      <c r="F420" s="5" t="str">
        <f t="shared" si="18"/>
        <v>学費みなと2実績</v>
      </c>
      <c r="G420" s="6">
        <v>1800</v>
      </c>
      <c r="H420" s="6" t="s">
        <v>175</v>
      </c>
    </row>
    <row r="421" spans="1:8" x14ac:dyDescent="0.35">
      <c r="A421" s="7">
        <v>46066</v>
      </c>
      <c r="B421" s="5" t="s">
        <v>176</v>
      </c>
      <c r="C421" s="5" t="s">
        <v>177</v>
      </c>
      <c r="D421" s="5" t="s">
        <v>19</v>
      </c>
      <c r="E421" s="5">
        <f t="shared" si="17"/>
        <v>2</v>
      </c>
      <c r="F421" s="5" t="str">
        <f t="shared" si="18"/>
        <v>医療費-2実績</v>
      </c>
      <c r="G421" s="6">
        <v>400</v>
      </c>
      <c r="H421" s="6"/>
    </row>
    <row r="422" spans="1:8" x14ac:dyDescent="0.35">
      <c r="A422" s="7">
        <v>46066</v>
      </c>
      <c r="B422" s="5" t="s">
        <v>6</v>
      </c>
      <c r="C422" s="5" t="s">
        <v>8</v>
      </c>
      <c r="D422" s="5" t="s">
        <v>19</v>
      </c>
      <c r="E422" s="5">
        <f t="shared" si="17"/>
        <v>2</v>
      </c>
      <c r="F422" s="5" t="str">
        <f t="shared" si="18"/>
        <v>学費ことは2実績</v>
      </c>
      <c r="G422" s="6">
        <v>1100</v>
      </c>
      <c r="H422" s="6" t="s">
        <v>178</v>
      </c>
    </row>
    <row r="423" spans="1:8" x14ac:dyDescent="0.35">
      <c r="A423" s="7">
        <v>46066</v>
      </c>
      <c r="B423" s="5" t="s">
        <v>174</v>
      </c>
      <c r="C423" s="5" t="s">
        <v>5</v>
      </c>
      <c r="D423" s="5" t="s">
        <v>19</v>
      </c>
      <c r="E423" s="5">
        <f t="shared" si="17"/>
        <v>2</v>
      </c>
      <c r="F423" s="5" t="str">
        <f t="shared" si="18"/>
        <v>学費みなと2実績</v>
      </c>
      <c r="G423" s="6">
        <v>660</v>
      </c>
      <c r="H423" s="6" t="s">
        <v>179</v>
      </c>
    </row>
    <row r="424" spans="1:8" x14ac:dyDescent="0.35">
      <c r="A424" s="7">
        <v>46066</v>
      </c>
      <c r="B424" s="5" t="s">
        <v>6</v>
      </c>
      <c r="C424" s="5" t="s">
        <v>8</v>
      </c>
      <c r="D424" s="5" t="s">
        <v>19</v>
      </c>
      <c r="E424" s="5">
        <f t="shared" si="17"/>
        <v>2</v>
      </c>
      <c r="F424" s="5" t="str">
        <f t="shared" si="18"/>
        <v>学費ことは2実績</v>
      </c>
      <c r="G424" s="6">
        <v>3051</v>
      </c>
      <c r="H424" s="6" t="s">
        <v>180</v>
      </c>
    </row>
    <row r="425" spans="1:8" x14ac:dyDescent="0.35">
      <c r="A425" s="7">
        <v>46066</v>
      </c>
      <c r="B425" s="5" t="s">
        <v>181</v>
      </c>
      <c r="C425" s="5" t="s">
        <v>182</v>
      </c>
      <c r="D425" s="5" t="s">
        <v>19</v>
      </c>
      <c r="E425" s="5">
        <f t="shared" si="17"/>
        <v>2</v>
      </c>
      <c r="F425" s="5" t="str">
        <f t="shared" si="18"/>
        <v>服子供2実績</v>
      </c>
      <c r="G425" s="6">
        <v>1077</v>
      </c>
      <c r="H425" s="6"/>
    </row>
    <row r="426" spans="1:8" x14ac:dyDescent="0.35">
      <c r="A426" s="7">
        <v>46073</v>
      </c>
      <c r="B426" s="5" t="s">
        <v>176</v>
      </c>
      <c r="C426" s="5" t="s">
        <v>177</v>
      </c>
      <c r="D426" s="5" t="s">
        <v>19</v>
      </c>
      <c r="E426" s="5">
        <f t="shared" si="17"/>
        <v>2</v>
      </c>
      <c r="F426" s="5" t="str">
        <f t="shared" si="18"/>
        <v>医療費-2実績</v>
      </c>
      <c r="G426" s="6">
        <v>4210</v>
      </c>
      <c r="H426" s="6" t="s">
        <v>34</v>
      </c>
    </row>
    <row r="427" spans="1:8" x14ac:dyDescent="0.35">
      <c r="A427" s="7">
        <v>46071</v>
      </c>
      <c r="B427" s="5" t="s">
        <v>14</v>
      </c>
      <c r="C427" s="5" t="s">
        <v>20</v>
      </c>
      <c r="D427" s="5" t="s">
        <v>19</v>
      </c>
      <c r="E427" s="5">
        <f t="shared" si="17"/>
        <v>2</v>
      </c>
      <c r="F427" s="5" t="str">
        <f t="shared" si="18"/>
        <v>化粧品-2実績</v>
      </c>
      <c r="G427" s="6">
        <v>3790</v>
      </c>
      <c r="H427" s="6" t="s">
        <v>183</v>
      </c>
    </row>
    <row r="428" spans="1:8" x14ac:dyDescent="0.35">
      <c r="A428" s="7">
        <v>46075</v>
      </c>
      <c r="B428" s="5" t="s">
        <v>3</v>
      </c>
      <c r="C428" s="5" t="s">
        <v>9</v>
      </c>
      <c r="D428" s="5" t="s">
        <v>19</v>
      </c>
      <c r="E428" s="5">
        <f t="shared" si="17"/>
        <v>2</v>
      </c>
      <c r="F428" s="5" t="str">
        <f t="shared" si="18"/>
        <v>生活費外食2実績</v>
      </c>
      <c r="G428" s="6">
        <v>3530</v>
      </c>
      <c r="H428" s="6" t="s">
        <v>185</v>
      </c>
    </row>
    <row r="429" spans="1:8" x14ac:dyDescent="0.35">
      <c r="A429" s="7">
        <v>46076</v>
      </c>
      <c r="B429" s="5" t="s">
        <v>3</v>
      </c>
      <c r="C429" s="5" t="s">
        <v>9</v>
      </c>
      <c r="D429" s="5" t="s">
        <v>19</v>
      </c>
      <c r="E429" s="5">
        <f t="shared" si="17"/>
        <v>2</v>
      </c>
      <c r="F429" s="5" t="str">
        <f t="shared" si="18"/>
        <v>生活費外食2実績</v>
      </c>
      <c r="G429" s="6">
        <v>1000</v>
      </c>
      <c r="H429" s="6" t="s">
        <v>184</v>
      </c>
    </row>
    <row r="430" spans="1:8" x14ac:dyDescent="0.35">
      <c r="A430" s="7">
        <v>46076</v>
      </c>
      <c r="B430" s="5" t="s">
        <v>186</v>
      </c>
      <c r="C430" s="5" t="s">
        <v>187</v>
      </c>
      <c r="D430" s="5" t="s">
        <v>19</v>
      </c>
      <c r="E430" s="5">
        <f t="shared" si="17"/>
        <v>2</v>
      </c>
      <c r="F430" s="5" t="str">
        <f t="shared" si="18"/>
        <v>美容室りょう2実績</v>
      </c>
      <c r="G430" s="6">
        <v>1400</v>
      </c>
      <c r="H430" s="6"/>
    </row>
    <row r="431" spans="1:8" x14ac:dyDescent="0.35">
      <c r="A431" s="7">
        <v>46076</v>
      </c>
      <c r="B431" s="5" t="s">
        <v>14</v>
      </c>
      <c r="C431" s="5" t="s">
        <v>20</v>
      </c>
      <c r="D431" s="5" t="s">
        <v>19</v>
      </c>
      <c r="E431" s="5">
        <f t="shared" si="17"/>
        <v>2</v>
      </c>
      <c r="F431" s="5" t="str">
        <f t="shared" si="18"/>
        <v>化粧品-2実績</v>
      </c>
      <c r="G431" s="6">
        <v>1650</v>
      </c>
      <c r="H431" s="6" t="s">
        <v>188</v>
      </c>
    </row>
    <row r="432" spans="1:8" x14ac:dyDescent="0.35">
      <c r="A432" s="7">
        <v>46076</v>
      </c>
      <c r="B432" s="5" t="s">
        <v>15</v>
      </c>
      <c r="C432" s="5" t="s">
        <v>57</v>
      </c>
      <c r="D432" s="5" t="s">
        <v>19</v>
      </c>
      <c r="E432" s="5">
        <f t="shared" ref="E432:E433" si="25">MONTH(A432)</f>
        <v>2</v>
      </c>
      <c r="F432" s="5" t="str">
        <f t="shared" si="18"/>
        <v>習い事英会話2実績</v>
      </c>
      <c r="G432" s="6">
        <v>2980</v>
      </c>
      <c r="H432" s="6"/>
    </row>
    <row r="433" spans="1:8" x14ac:dyDescent="0.35">
      <c r="A433" s="7">
        <v>46077</v>
      </c>
      <c r="B433" s="5" t="s">
        <v>7</v>
      </c>
      <c r="C433" s="5" t="s">
        <v>10</v>
      </c>
      <c r="D433" s="5" t="s">
        <v>19</v>
      </c>
      <c r="E433" s="5">
        <f t="shared" si="25"/>
        <v>2</v>
      </c>
      <c r="F433" s="5" t="str">
        <f t="shared" ref="F433" si="26">B433&amp;C433&amp;E433&amp;D433</f>
        <v>光熱費ガス2実績</v>
      </c>
      <c r="G433" s="6">
        <v>10547</v>
      </c>
      <c r="H433" s="6"/>
    </row>
    <row r="434" spans="1:8" x14ac:dyDescent="0.35">
      <c r="A434" s="7">
        <v>46077</v>
      </c>
      <c r="B434" s="5" t="s">
        <v>21</v>
      </c>
      <c r="C434" s="5" t="s">
        <v>20</v>
      </c>
      <c r="D434" s="5" t="s">
        <v>19</v>
      </c>
      <c r="E434" s="5">
        <f t="shared" si="17"/>
        <v>2</v>
      </c>
      <c r="F434" s="5" t="str">
        <f t="shared" si="18"/>
        <v>医療費-2実績</v>
      </c>
      <c r="G434" s="6">
        <v>5080</v>
      </c>
      <c r="H434" s="6" t="s">
        <v>189</v>
      </c>
    </row>
    <row r="435" spans="1:8" x14ac:dyDescent="0.35">
      <c r="A435" s="7">
        <v>46078</v>
      </c>
      <c r="B435" s="5" t="s">
        <v>190</v>
      </c>
      <c r="C435" s="5" t="s">
        <v>191</v>
      </c>
      <c r="D435" s="5" t="s">
        <v>19</v>
      </c>
      <c r="E435" s="5">
        <f t="shared" si="17"/>
        <v>2</v>
      </c>
      <c r="F435" s="5" t="str">
        <f t="shared" si="18"/>
        <v>家賃-2実績</v>
      </c>
      <c r="G435" s="6">
        <v>120829</v>
      </c>
      <c r="H435" s="6"/>
    </row>
    <row r="436" spans="1:8" x14ac:dyDescent="0.35">
      <c r="A436" s="7">
        <v>46078</v>
      </c>
      <c r="B436" s="5" t="s">
        <v>13</v>
      </c>
      <c r="C436" s="5" t="s">
        <v>45</v>
      </c>
      <c r="D436" s="5" t="s">
        <v>19</v>
      </c>
      <c r="E436" s="5">
        <f t="shared" si="17"/>
        <v>2</v>
      </c>
      <c r="F436" s="5" t="str">
        <f t="shared" si="18"/>
        <v>通信料GPS2実績</v>
      </c>
      <c r="G436" s="6">
        <v>539</v>
      </c>
      <c r="H436" s="6"/>
    </row>
    <row r="437" spans="1:8" x14ac:dyDescent="0.35">
      <c r="A437" s="7">
        <v>46078</v>
      </c>
      <c r="B437" s="5" t="s">
        <v>13</v>
      </c>
      <c r="C437" s="5" t="s">
        <v>193</v>
      </c>
      <c r="D437" s="5" t="s">
        <v>19</v>
      </c>
      <c r="E437" s="5">
        <f t="shared" si="17"/>
        <v>2</v>
      </c>
      <c r="F437" s="5" t="str">
        <f t="shared" si="18"/>
        <v>通信料りょう2実績</v>
      </c>
      <c r="G437" s="6">
        <v>3480</v>
      </c>
      <c r="H437" s="6"/>
    </row>
    <row r="438" spans="1:8" x14ac:dyDescent="0.35">
      <c r="A438" s="7">
        <v>46078</v>
      </c>
      <c r="B438" s="5" t="s">
        <v>13</v>
      </c>
      <c r="C438" s="5" t="s">
        <v>192</v>
      </c>
      <c r="D438" s="5" t="s">
        <v>19</v>
      </c>
      <c r="E438" s="5">
        <f t="shared" si="17"/>
        <v>2</v>
      </c>
      <c r="F438" s="5" t="str">
        <f t="shared" si="18"/>
        <v>通信料ゆっこ2実績</v>
      </c>
      <c r="G438" s="6">
        <v>2559</v>
      </c>
      <c r="H438" s="6"/>
    </row>
    <row r="439" spans="1:8" x14ac:dyDescent="0.35">
      <c r="A439" s="7">
        <v>46078</v>
      </c>
      <c r="B439" s="5" t="s">
        <v>16</v>
      </c>
      <c r="C439" s="5" t="s">
        <v>61</v>
      </c>
      <c r="D439" s="5" t="s">
        <v>19</v>
      </c>
      <c r="E439" s="5">
        <f t="shared" ref="E439:E443" si="27">MONTH(A439)</f>
        <v>2</v>
      </c>
      <c r="F439" s="5" t="str">
        <f t="shared" ref="F439:F443" si="28">B439&amp;C439&amp;E439&amp;D439</f>
        <v>保険ゆっこ医療2実績</v>
      </c>
      <c r="G439" s="6">
        <v>2924</v>
      </c>
      <c r="H439" s="6"/>
    </row>
    <row r="440" spans="1:8" x14ac:dyDescent="0.35">
      <c r="A440" s="7">
        <v>46078</v>
      </c>
      <c r="B440" s="5" t="s">
        <v>47</v>
      </c>
      <c r="C440" s="5" t="s">
        <v>49</v>
      </c>
      <c r="D440" s="5" t="s">
        <v>19</v>
      </c>
      <c r="E440" s="5">
        <f t="shared" si="27"/>
        <v>2</v>
      </c>
      <c r="F440" s="5" t="str">
        <f t="shared" si="28"/>
        <v>サブスクiCloud2実績</v>
      </c>
      <c r="G440" s="6">
        <v>450</v>
      </c>
      <c r="H440" s="6"/>
    </row>
    <row r="441" spans="1:8" x14ac:dyDescent="0.35">
      <c r="A441" s="7">
        <v>46078</v>
      </c>
      <c r="B441" s="5" t="s">
        <v>16</v>
      </c>
      <c r="C441" s="5" t="s">
        <v>59</v>
      </c>
      <c r="D441" s="5" t="s">
        <v>19</v>
      </c>
      <c r="E441" s="5">
        <f t="shared" si="27"/>
        <v>2</v>
      </c>
      <c r="F441" s="5" t="str">
        <f t="shared" si="28"/>
        <v>保険りょう死亡2実績</v>
      </c>
      <c r="G441" s="6">
        <v>1780</v>
      </c>
      <c r="H441" s="6"/>
    </row>
    <row r="442" spans="1:8" x14ac:dyDescent="0.35">
      <c r="A442" s="7">
        <v>46078</v>
      </c>
      <c r="B442" s="5" t="s">
        <v>16</v>
      </c>
      <c r="C442" s="5" t="s">
        <v>60</v>
      </c>
      <c r="D442" s="5" t="s">
        <v>19</v>
      </c>
      <c r="E442" s="5">
        <f t="shared" si="27"/>
        <v>2</v>
      </c>
      <c r="F442" s="5" t="str">
        <f t="shared" si="28"/>
        <v>保険りょう医療2実績</v>
      </c>
      <c r="G442" s="6">
        <v>2572</v>
      </c>
      <c r="H442" s="6"/>
    </row>
    <row r="443" spans="1:8" x14ac:dyDescent="0.35">
      <c r="A443" s="7">
        <v>46080</v>
      </c>
      <c r="B443" s="5" t="s">
        <v>21</v>
      </c>
      <c r="C443" s="5" t="s">
        <v>20</v>
      </c>
      <c r="D443" s="5" t="s">
        <v>19</v>
      </c>
      <c r="E443" s="5">
        <f t="shared" si="27"/>
        <v>2</v>
      </c>
      <c r="F443" s="5" t="str">
        <f t="shared" si="28"/>
        <v>医療費-2実績</v>
      </c>
      <c r="G443" s="6">
        <v>2290</v>
      </c>
      <c r="H443" s="6" t="s">
        <v>34</v>
      </c>
    </row>
    <row r="444" spans="1:8" x14ac:dyDescent="0.35">
      <c r="A444" s="7">
        <v>46081</v>
      </c>
      <c r="B444" s="5" t="s">
        <v>3</v>
      </c>
      <c r="C444" s="5" t="s">
        <v>9</v>
      </c>
      <c r="D444" s="5" t="s">
        <v>19</v>
      </c>
      <c r="E444" s="5">
        <f t="shared" ref="E444:E481" si="29">MONTH(A444)</f>
        <v>2</v>
      </c>
      <c r="F444" s="5" t="str">
        <f t="shared" si="18"/>
        <v>生活費外食2実績</v>
      </c>
      <c r="G444" s="6">
        <v>3100</v>
      </c>
      <c r="H444" s="6" t="s">
        <v>194</v>
      </c>
    </row>
    <row r="445" spans="1:8" x14ac:dyDescent="0.35">
      <c r="A445" s="7">
        <v>46080</v>
      </c>
      <c r="B445" s="5" t="s">
        <v>195</v>
      </c>
      <c r="C445" s="5" t="s">
        <v>196</v>
      </c>
      <c r="D445" s="5" t="s">
        <v>19</v>
      </c>
      <c r="E445" s="5">
        <f t="shared" si="29"/>
        <v>2</v>
      </c>
      <c r="F445" s="5" t="str">
        <f t="shared" si="18"/>
        <v>化粧品-2実績</v>
      </c>
      <c r="G445" s="6">
        <v>1430</v>
      </c>
      <c r="H445" s="6" t="s">
        <v>197</v>
      </c>
    </row>
    <row r="446" spans="1:8" x14ac:dyDescent="0.35">
      <c r="A446" s="7">
        <v>46078</v>
      </c>
      <c r="B446" s="5" t="s">
        <v>6</v>
      </c>
      <c r="C446" s="5" t="s">
        <v>8</v>
      </c>
      <c r="D446" s="5" t="s">
        <v>19</v>
      </c>
      <c r="E446" s="5">
        <f t="shared" si="29"/>
        <v>2</v>
      </c>
      <c r="F446" s="5" t="str">
        <f t="shared" si="18"/>
        <v>学費ことは2実績</v>
      </c>
      <c r="G446" s="6">
        <v>988</v>
      </c>
      <c r="H446" s="6" t="s">
        <v>198</v>
      </c>
    </row>
    <row r="447" spans="1:8" x14ac:dyDescent="0.35">
      <c r="A447" s="7">
        <v>46081</v>
      </c>
      <c r="B447" s="5" t="s">
        <v>3</v>
      </c>
      <c r="C447" s="5" t="s">
        <v>196</v>
      </c>
      <c r="D447" s="5" t="s">
        <v>19</v>
      </c>
      <c r="E447" s="5">
        <f t="shared" si="29"/>
        <v>2</v>
      </c>
      <c r="F447" s="5" t="str">
        <f t="shared" si="18"/>
        <v>生活費-2実績</v>
      </c>
      <c r="G447" s="6">
        <v>107913</v>
      </c>
      <c r="H447" s="6"/>
    </row>
    <row r="448" spans="1:8" x14ac:dyDescent="0.35">
      <c r="A448" s="7">
        <v>46078</v>
      </c>
      <c r="B448" s="5" t="s">
        <v>87</v>
      </c>
      <c r="C448" s="5" t="s">
        <v>31</v>
      </c>
      <c r="D448" s="5" t="s">
        <v>19</v>
      </c>
      <c r="E448" s="5">
        <f t="shared" si="29"/>
        <v>2</v>
      </c>
      <c r="F448" s="5" t="str">
        <f>B448&amp;C448&amp;E448&amp;D448</f>
        <v>こずかいゆっこ2実績</v>
      </c>
      <c r="G448" s="6">
        <v>25000</v>
      </c>
      <c r="H448" s="6"/>
    </row>
    <row r="449" spans="1:8" x14ac:dyDescent="0.35">
      <c r="A449" s="7">
        <v>46078</v>
      </c>
      <c r="B449" s="5" t="s">
        <v>87</v>
      </c>
      <c r="C449" s="5" t="s">
        <v>2</v>
      </c>
      <c r="D449" s="5" t="s">
        <v>19</v>
      </c>
      <c r="E449" s="5">
        <f t="shared" si="29"/>
        <v>2</v>
      </c>
      <c r="F449" s="5" t="str">
        <f t="shared" ref="F449:F452" si="30">B449&amp;C449&amp;E449&amp;D449</f>
        <v>こずかいりょう2実績</v>
      </c>
      <c r="G449" s="6">
        <v>25000</v>
      </c>
      <c r="H449" s="6"/>
    </row>
    <row r="450" spans="1:8" x14ac:dyDescent="0.35">
      <c r="A450" s="7">
        <v>46081</v>
      </c>
      <c r="B450" s="5" t="s">
        <v>17</v>
      </c>
      <c r="C450" s="5" t="s">
        <v>20</v>
      </c>
      <c r="D450" s="5" t="s">
        <v>19</v>
      </c>
      <c r="E450" s="5">
        <f t="shared" si="29"/>
        <v>2</v>
      </c>
      <c r="F450" s="5" t="str">
        <f t="shared" si="30"/>
        <v>奨学金-2実績</v>
      </c>
      <c r="G450" s="6">
        <v>10125</v>
      </c>
      <c r="H450" s="6"/>
    </row>
    <row r="451" spans="1:8" x14ac:dyDescent="0.35">
      <c r="A451" s="7">
        <v>46081</v>
      </c>
      <c r="B451" s="5" t="s">
        <v>15</v>
      </c>
      <c r="C451" s="5" t="s">
        <v>55</v>
      </c>
      <c r="D451" s="5" t="s">
        <v>19</v>
      </c>
      <c r="E451" s="5">
        <f t="shared" si="29"/>
        <v>2</v>
      </c>
      <c r="F451" s="5" t="str">
        <f t="shared" si="30"/>
        <v>習い事バレエ2実績</v>
      </c>
      <c r="G451" s="6">
        <v>9020</v>
      </c>
      <c r="H451" s="6"/>
    </row>
    <row r="452" spans="1:8" x14ac:dyDescent="0.35">
      <c r="A452" s="7">
        <v>46081</v>
      </c>
      <c r="B452" s="5" t="s">
        <v>15</v>
      </c>
      <c r="C452" s="5" t="s">
        <v>54</v>
      </c>
      <c r="D452" s="5" t="s">
        <v>19</v>
      </c>
      <c r="E452" s="5">
        <f t="shared" si="29"/>
        <v>2</v>
      </c>
      <c r="F452" s="5" t="str">
        <f t="shared" si="30"/>
        <v>習い事公文2実績</v>
      </c>
      <c r="G452" s="6">
        <v>14300</v>
      </c>
      <c r="H452" s="6"/>
    </row>
    <row r="453" spans="1:8" x14ac:dyDescent="0.35">
      <c r="A453" s="7">
        <v>46081</v>
      </c>
      <c r="B453" s="5" t="s">
        <v>199</v>
      </c>
      <c r="C453" s="5" t="s">
        <v>200</v>
      </c>
      <c r="D453" s="5" t="s">
        <v>19</v>
      </c>
      <c r="E453" s="5">
        <f t="shared" si="29"/>
        <v>2</v>
      </c>
      <c r="F453" s="5" t="str">
        <f t="shared" ref="F453:F658" si="31">B453&amp;C453&amp;E453&amp;D453</f>
        <v>祝い事ゆっこ2実績</v>
      </c>
      <c r="G453" s="6">
        <v>20000</v>
      </c>
      <c r="H453" s="6"/>
    </row>
    <row r="454" spans="1:8" x14ac:dyDescent="0.35">
      <c r="A454" s="7">
        <v>46080</v>
      </c>
      <c r="B454" s="5" t="s">
        <v>201</v>
      </c>
      <c r="C454" s="5" t="s">
        <v>202</v>
      </c>
      <c r="D454" s="5" t="s">
        <v>19</v>
      </c>
      <c r="E454" s="5">
        <f t="shared" si="29"/>
        <v>2</v>
      </c>
      <c r="F454" s="5" t="str">
        <f t="shared" si="31"/>
        <v>服子供2実績</v>
      </c>
      <c r="G454" s="6">
        <v>3876</v>
      </c>
      <c r="H454" s="6" t="s">
        <v>203</v>
      </c>
    </row>
    <row r="455" spans="1:8" x14ac:dyDescent="0.35">
      <c r="A455" s="7">
        <v>46080</v>
      </c>
      <c r="B455" s="5" t="s">
        <v>201</v>
      </c>
      <c r="C455" s="5" t="s">
        <v>200</v>
      </c>
      <c r="D455" s="5" t="s">
        <v>19</v>
      </c>
      <c r="E455" s="5">
        <f t="shared" si="29"/>
        <v>2</v>
      </c>
      <c r="F455" s="5" t="str">
        <f t="shared" si="31"/>
        <v>服ゆっこ2実績</v>
      </c>
      <c r="G455" s="6">
        <v>10140</v>
      </c>
      <c r="H455" s="6" t="s">
        <v>203</v>
      </c>
    </row>
    <row r="456" spans="1:8" x14ac:dyDescent="0.35">
      <c r="A456" s="7">
        <v>46080</v>
      </c>
      <c r="B456" s="5" t="s">
        <v>201</v>
      </c>
      <c r="C456" s="5" t="s">
        <v>200</v>
      </c>
      <c r="D456" s="5" t="s">
        <v>19</v>
      </c>
      <c r="E456" s="5">
        <f t="shared" si="29"/>
        <v>2</v>
      </c>
      <c r="F456" s="5" t="str">
        <f t="shared" si="31"/>
        <v>服ゆっこ2実績</v>
      </c>
      <c r="G456" s="6">
        <v>8700</v>
      </c>
      <c r="H456" s="6"/>
    </row>
    <row r="457" spans="1:8" x14ac:dyDescent="0.35">
      <c r="A457" s="7">
        <v>46080</v>
      </c>
      <c r="B457" s="5" t="s">
        <v>201</v>
      </c>
      <c r="C457" s="5" t="s">
        <v>202</v>
      </c>
      <c r="D457" s="5" t="s">
        <v>19</v>
      </c>
      <c r="E457" s="5">
        <f t="shared" si="29"/>
        <v>2</v>
      </c>
      <c r="F457" s="5" t="str">
        <f t="shared" si="31"/>
        <v>服子供2実績</v>
      </c>
      <c r="G457" s="6">
        <v>8276</v>
      </c>
      <c r="H457" s="6"/>
    </row>
    <row r="458" spans="1:8" x14ac:dyDescent="0.35">
      <c r="A458" s="7">
        <v>46081</v>
      </c>
      <c r="B458" s="5" t="s">
        <v>201</v>
      </c>
      <c r="C458" s="5" t="s">
        <v>200</v>
      </c>
      <c r="D458" s="5" t="s">
        <v>19</v>
      </c>
      <c r="E458" s="5">
        <f t="shared" si="29"/>
        <v>2</v>
      </c>
      <c r="F458" s="5" t="str">
        <f t="shared" si="31"/>
        <v>服ゆっこ2実績</v>
      </c>
      <c r="G458" s="6">
        <v>8466</v>
      </c>
      <c r="H458" s="6"/>
    </row>
    <row r="459" spans="1:8" x14ac:dyDescent="0.35">
      <c r="A459" s="7">
        <v>46081</v>
      </c>
      <c r="B459" s="5" t="s">
        <v>205</v>
      </c>
      <c r="C459" s="5" t="s">
        <v>206</v>
      </c>
      <c r="D459" s="5" t="s">
        <v>19</v>
      </c>
      <c r="E459" s="5">
        <f t="shared" si="29"/>
        <v>2</v>
      </c>
      <c r="F459" s="5" t="str">
        <f t="shared" si="31"/>
        <v>娯楽費その他2実績</v>
      </c>
      <c r="G459" s="6">
        <v>5830</v>
      </c>
      <c r="H459" s="6" t="s">
        <v>204</v>
      </c>
    </row>
    <row r="460" spans="1:8" x14ac:dyDescent="0.35">
      <c r="A460" s="7">
        <v>46082</v>
      </c>
      <c r="B460" s="5" t="s">
        <v>211</v>
      </c>
      <c r="C460" s="5" t="s">
        <v>82</v>
      </c>
      <c r="D460" s="5" t="s">
        <v>208</v>
      </c>
      <c r="E460" s="5">
        <f t="shared" si="29"/>
        <v>3</v>
      </c>
      <c r="F460" s="5" t="str">
        <f t="shared" si="31"/>
        <v>その他父の日/母の日/誕生日3実績</v>
      </c>
      <c r="G460" s="6">
        <v>4980</v>
      </c>
      <c r="H460" s="6" t="s">
        <v>210</v>
      </c>
    </row>
    <row r="461" spans="1:8" x14ac:dyDescent="0.35">
      <c r="A461" s="7">
        <v>46082</v>
      </c>
      <c r="B461" s="5" t="s">
        <v>207</v>
      </c>
      <c r="C461" s="5" t="s">
        <v>5</v>
      </c>
      <c r="D461" s="5" t="s">
        <v>208</v>
      </c>
      <c r="E461" s="5">
        <f t="shared" si="29"/>
        <v>3</v>
      </c>
      <c r="F461" s="5" t="str">
        <f t="shared" si="31"/>
        <v>学費みなと3実績</v>
      </c>
      <c r="G461" s="6">
        <v>5150</v>
      </c>
      <c r="H461" s="6" t="s">
        <v>209</v>
      </c>
    </row>
    <row r="462" spans="1:8" x14ac:dyDescent="0.35">
      <c r="A462" s="7">
        <v>46082</v>
      </c>
      <c r="B462" s="5" t="s">
        <v>15</v>
      </c>
      <c r="C462" s="5" t="s">
        <v>55</v>
      </c>
      <c r="D462" s="5" t="s">
        <v>19</v>
      </c>
      <c r="E462" s="5">
        <f t="shared" si="29"/>
        <v>3</v>
      </c>
      <c r="F462" s="5" t="str">
        <f t="shared" si="31"/>
        <v>習い事バレエ3実績</v>
      </c>
      <c r="G462" s="6">
        <v>9350</v>
      </c>
      <c r="H462" s="6" t="s">
        <v>212</v>
      </c>
    </row>
    <row r="463" spans="1:8" x14ac:dyDescent="0.35">
      <c r="A463" s="7">
        <v>46084</v>
      </c>
      <c r="B463" s="5" t="s">
        <v>3</v>
      </c>
      <c r="C463" s="5" t="s">
        <v>214</v>
      </c>
      <c r="D463" s="5" t="s">
        <v>19</v>
      </c>
      <c r="E463" s="5">
        <f t="shared" si="29"/>
        <v>3</v>
      </c>
      <c r="F463" s="5" t="str">
        <f t="shared" si="31"/>
        <v>生活費外食3実績</v>
      </c>
      <c r="G463" s="6">
        <v>700</v>
      </c>
      <c r="H463" s="6" t="s">
        <v>213</v>
      </c>
    </row>
    <row r="464" spans="1:8" x14ac:dyDescent="0.35">
      <c r="A464" s="7">
        <v>46085</v>
      </c>
      <c r="B464" s="5" t="s">
        <v>14</v>
      </c>
      <c r="C464" s="5" t="s">
        <v>20</v>
      </c>
      <c r="D464" s="5" t="s">
        <v>19</v>
      </c>
      <c r="E464" s="5">
        <f t="shared" si="29"/>
        <v>3</v>
      </c>
      <c r="F464" s="5" t="str">
        <f t="shared" si="31"/>
        <v>化粧品-3実績</v>
      </c>
      <c r="G464" s="6">
        <v>572</v>
      </c>
      <c r="H464" s="6" t="s">
        <v>215</v>
      </c>
    </row>
    <row r="465" spans="1:8" x14ac:dyDescent="0.35">
      <c r="A465" s="7">
        <v>46085</v>
      </c>
      <c r="B465" s="5" t="s">
        <v>217</v>
      </c>
      <c r="C465" s="5" t="s">
        <v>218</v>
      </c>
      <c r="D465" s="5" t="s">
        <v>19</v>
      </c>
      <c r="E465" s="5">
        <f t="shared" si="29"/>
        <v>3</v>
      </c>
      <c r="F465" s="5" t="str">
        <f t="shared" si="31"/>
        <v>医療費-3実績</v>
      </c>
      <c r="G465" s="6">
        <v>1078</v>
      </c>
      <c r="H465" s="6" t="s">
        <v>216</v>
      </c>
    </row>
    <row r="466" spans="1:8" x14ac:dyDescent="0.35">
      <c r="A466" s="7">
        <v>46087</v>
      </c>
      <c r="B466" s="5" t="s">
        <v>207</v>
      </c>
      <c r="C466" s="5" t="s">
        <v>5</v>
      </c>
      <c r="D466" s="5" t="s">
        <v>19</v>
      </c>
      <c r="E466" s="5">
        <f t="shared" si="29"/>
        <v>3</v>
      </c>
      <c r="F466" s="5" t="str">
        <f t="shared" si="31"/>
        <v>学費みなと3実績</v>
      </c>
      <c r="G466" s="6">
        <v>437</v>
      </c>
      <c r="H466" s="6" t="s">
        <v>220</v>
      </c>
    </row>
    <row r="467" spans="1:8" x14ac:dyDescent="0.35">
      <c r="A467" s="7">
        <v>46087</v>
      </c>
      <c r="B467" s="5" t="s">
        <v>217</v>
      </c>
      <c r="C467" s="5" t="s">
        <v>218</v>
      </c>
      <c r="D467" s="5" t="s">
        <v>19</v>
      </c>
      <c r="E467" s="5">
        <f t="shared" si="29"/>
        <v>3</v>
      </c>
      <c r="F467" s="5" t="str">
        <f t="shared" si="31"/>
        <v>医療費-3実績</v>
      </c>
      <c r="G467" s="6">
        <v>400</v>
      </c>
      <c r="H467" s="6" t="s">
        <v>221</v>
      </c>
    </row>
    <row r="468" spans="1:8" x14ac:dyDescent="0.35">
      <c r="A468" s="7">
        <v>46088</v>
      </c>
      <c r="B468" s="5" t="s">
        <v>12</v>
      </c>
      <c r="C468" s="5" t="s">
        <v>219</v>
      </c>
      <c r="D468" s="5" t="s">
        <v>19</v>
      </c>
      <c r="E468" s="5">
        <f t="shared" si="29"/>
        <v>3</v>
      </c>
      <c r="F468" s="5" t="str">
        <f t="shared" si="31"/>
        <v>美容室ゆっこ3実績</v>
      </c>
      <c r="G468" s="6">
        <v>17150</v>
      </c>
      <c r="H468" s="6" t="s">
        <v>222</v>
      </c>
    </row>
    <row r="469" spans="1:8" x14ac:dyDescent="0.35">
      <c r="A469" s="7">
        <v>46088</v>
      </c>
      <c r="B469" s="5" t="s">
        <v>3</v>
      </c>
      <c r="C469" s="5" t="s">
        <v>214</v>
      </c>
      <c r="D469" s="5" t="s">
        <v>19</v>
      </c>
      <c r="E469" s="5">
        <f t="shared" si="29"/>
        <v>3</v>
      </c>
      <c r="F469" s="5" t="str">
        <f t="shared" si="31"/>
        <v>生活費外食3実績</v>
      </c>
      <c r="G469" s="6">
        <v>905</v>
      </c>
      <c r="H469" s="6" t="s">
        <v>223</v>
      </c>
    </row>
    <row r="470" spans="1:8" x14ac:dyDescent="0.35">
      <c r="A470" s="7">
        <v>46089</v>
      </c>
      <c r="B470" s="5" t="s">
        <v>217</v>
      </c>
      <c r="C470" s="5" t="s">
        <v>218</v>
      </c>
      <c r="D470" s="5" t="s">
        <v>19</v>
      </c>
      <c r="E470" s="5">
        <f t="shared" si="29"/>
        <v>3</v>
      </c>
      <c r="F470" s="5" t="str">
        <f t="shared" si="31"/>
        <v>医療費-3実績</v>
      </c>
      <c r="G470" s="6">
        <v>1958</v>
      </c>
      <c r="H470" s="6" t="s">
        <v>224</v>
      </c>
    </row>
    <row r="471" spans="1:8" x14ac:dyDescent="0.35">
      <c r="A471" s="7">
        <v>46089</v>
      </c>
      <c r="B471" s="5" t="s">
        <v>3</v>
      </c>
      <c r="C471" s="5" t="s">
        <v>214</v>
      </c>
      <c r="D471" s="5" t="s">
        <v>19</v>
      </c>
      <c r="E471" s="5">
        <f t="shared" si="29"/>
        <v>3</v>
      </c>
      <c r="F471" s="5" t="str">
        <f t="shared" si="31"/>
        <v>生活費外食3実績</v>
      </c>
      <c r="G471" s="6">
        <v>1470</v>
      </c>
      <c r="H471" s="6" t="s">
        <v>225</v>
      </c>
    </row>
    <row r="472" spans="1:8" x14ac:dyDescent="0.35">
      <c r="A472" s="7">
        <v>46089</v>
      </c>
      <c r="B472" s="5" t="s">
        <v>29</v>
      </c>
      <c r="C472" s="5" t="s">
        <v>218</v>
      </c>
      <c r="D472" s="5" t="s">
        <v>19</v>
      </c>
      <c r="E472" s="5">
        <f t="shared" si="29"/>
        <v>3</v>
      </c>
      <c r="F472" s="5" t="str">
        <f t="shared" si="31"/>
        <v>ふるさと納税-3実績</v>
      </c>
      <c r="G472" s="6">
        <v>12000</v>
      </c>
      <c r="H472" s="6" t="s">
        <v>226</v>
      </c>
    </row>
    <row r="473" spans="1:8" x14ac:dyDescent="0.35">
      <c r="A473" s="7">
        <v>46089</v>
      </c>
      <c r="B473" s="5" t="s">
        <v>29</v>
      </c>
      <c r="C473" s="5" t="s">
        <v>218</v>
      </c>
      <c r="D473" s="5" t="s">
        <v>19</v>
      </c>
      <c r="E473" s="5">
        <f t="shared" si="29"/>
        <v>3</v>
      </c>
      <c r="F473" s="5" t="str">
        <f t="shared" si="31"/>
        <v>ふるさと納税-3実績</v>
      </c>
      <c r="G473" s="6">
        <v>15000</v>
      </c>
      <c r="H473" s="6" t="s">
        <v>227</v>
      </c>
    </row>
    <row r="474" spans="1:8" x14ac:dyDescent="0.35">
      <c r="A474" s="7">
        <v>46089</v>
      </c>
      <c r="B474" s="5" t="s">
        <v>228</v>
      </c>
      <c r="C474" s="5" t="s">
        <v>229</v>
      </c>
      <c r="D474" s="5" t="s">
        <v>19</v>
      </c>
      <c r="E474" s="5">
        <f t="shared" si="29"/>
        <v>3</v>
      </c>
      <c r="F474" s="5" t="str">
        <f t="shared" si="31"/>
        <v>服りょう3実績</v>
      </c>
      <c r="G474" s="6">
        <v>4000</v>
      </c>
      <c r="H474" s="6" t="s">
        <v>231</v>
      </c>
    </row>
    <row r="475" spans="1:8" x14ac:dyDescent="0.35">
      <c r="A475" s="7">
        <v>46089</v>
      </c>
      <c r="B475" s="5" t="s">
        <v>11</v>
      </c>
      <c r="C475" s="5" t="s">
        <v>85</v>
      </c>
      <c r="D475" s="5" t="s">
        <v>19</v>
      </c>
      <c r="E475" s="5">
        <f t="shared" si="29"/>
        <v>3</v>
      </c>
      <c r="F475" s="5" t="str">
        <f t="shared" si="31"/>
        <v>その他予備費3実績</v>
      </c>
      <c r="G475" s="6">
        <v>5000</v>
      </c>
      <c r="H475" s="6" t="s">
        <v>230</v>
      </c>
    </row>
    <row r="476" spans="1:8" x14ac:dyDescent="0.35">
      <c r="A476" s="7">
        <v>46113</v>
      </c>
      <c r="B476" s="5" t="s">
        <v>7</v>
      </c>
      <c r="C476" s="5" t="s">
        <v>232</v>
      </c>
      <c r="D476" s="5" t="s">
        <v>19</v>
      </c>
      <c r="E476" s="5">
        <f t="shared" si="29"/>
        <v>4</v>
      </c>
      <c r="F476" s="5" t="str">
        <f t="shared" si="31"/>
        <v>光熱費電気4実績</v>
      </c>
      <c r="G476" s="6">
        <v>19440</v>
      </c>
      <c r="H476" s="6"/>
    </row>
    <row r="477" spans="1:8" x14ac:dyDescent="0.35">
      <c r="A477" s="7">
        <v>46091</v>
      </c>
      <c r="B477" s="5" t="s">
        <v>3</v>
      </c>
      <c r="C477" s="5" t="s">
        <v>9</v>
      </c>
      <c r="D477" s="5" t="s">
        <v>19</v>
      </c>
      <c r="E477" s="5">
        <f t="shared" si="29"/>
        <v>3</v>
      </c>
      <c r="F477" s="5" t="str">
        <f t="shared" si="31"/>
        <v>生活費外食3実績</v>
      </c>
      <c r="G477" s="6">
        <v>2786</v>
      </c>
      <c r="H477" s="6" t="s">
        <v>233</v>
      </c>
    </row>
    <row r="478" spans="1:8" x14ac:dyDescent="0.35">
      <c r="A478" s="7">
        <v>46091</v>
      </c>
      <c r="B478" s="5" t="s">
        <v>234</v>
      </c>
      <c r="C478" s="5" t="s">
        <v>235</v>
      </c>
      <c r="D478" s="5" t="s">
        <v>19</v>
      </c>
      <c r="E478" s="5">
        <f t="shared" si="29"/>
        <v>3</v>
      </c>
      <c r="F478" s="5" t="str">
        <f t="shared" si="31"/>
        <v>医療費-3実績</v>
      </c>
      <c r="G478" s="6">
        <v>390</v>
      </c>
      <c r="H478" s="6" t="s">
        <v>236</v>
      </c>
    </row>
    <row r="479" spans="1:8" x14ac:dyDescent="0.35">
      <c r="A479" s="7">
        <v>46094</v>
      </c>
      <c r="B479" s="5" t="s">
        <v>21</v>
      </c>
      <c r="C479" s="5" t="s">
        <v>20</v>
      </c>
      <c r="D479" s="5" t="s">
        <v>19</v>
      </c>
      <c r="E479" s="5">
        <f t="shared" ref="E479" si="32">MONTH(A479)</f>
        <v>3</v>
      </c>
      <c r="F479" s="5" t="str">
        <f t="shared" ref="F479" si="33">B479&amp;C479&amp;E479&amp;D479</f>
        <v>医療費-3実績</v>
      </c>
      <c r="G479" s="6">
        <v>1400</v>
      </c>
      <c r="H479" s="6" t="s">
        <v>237</v>
      </c>
    </row>
    <row r="480" spans="1:8" x14ac:dyDescent="0.35">
      <c r="A480" s="7">
        <v>46095</v>
      </c>
      <c r="B480" s="5" t="s">
        <v>238</v>
      </c>
      <c r="C480" s="5" t="s">
        <v>239</v>
      </c>
      <c r="D480" s="5" t="s">
        <v>19</v>
      </c>
      <c r="E480" s="5">
        <f t="shared" si="29"/>
        <v>3</v>
      </c>
      <c r="F480" s="5" t="str">
        <f t="shared" si="31"/>
        <v>服子供3実績</v>
      </c>
      <c r="G480" s="6">
        <v>437</v>
      </c>
      <c r="H480" s="6" t="s">
        <v>240</v>
      </c>
    </row>
    <row r="481" spans="1:8" x14ac:dyDescent="0.35">
      <c r="A481" s="7">
        <v>46095</v>
      </c>
      <c r="B481" s="5" t="s">
        <v>241</v>
      </c>
      <c r="C481" s="5" t="s">
        <v>5</v>
      </c>
      <c r="D481" s="5" t="s">
        <v>19</v>
      </c>
      <c r="E481" s="5">
        <f t="shared" si="29"/>
        <v>3</v>
      </c>
      <c r="F481" s="5" t="str">
        <f t="shared" si="31"/>
        <v>学費みなと3実績</v>
      </c>
      <c r="G481" s="6">
        <v>1101</v>
      </c>
      <c r="H481" s="6" t="s">
        <v>242</v>
      </c>
    </row>
    <row r="482" spans="1:8" x14ac:dyDescent="0.35">
      <c r="A482" s="7">
        <v>46095</v>
      </c>
      <c r="B482" s="5" t="s">
        <v>241</v>
      </c>
      <c r="C482" s="5" t="s">
        <v>8</v>
      </c>
      <c r="D482" s="5" t="s">
        <v>19</v>
      </c>
      <c r="E482" s="5">
        <f t="shared" ref="E482:E546" si="34">MONTH(A482)</f>
        <v>3</v>
      </c>
      <c r="F482" s="5" t="str">
        <f t="shared" si="31"/>
        <v>学費ことは3実績</v>
      </c>
      <c r="G482" s="6">
        <v>1101</v>
      </c>
      <c r="H482" s="6" t="s">
        <v>242</v>
      </c>
    </row>
    <row r="483" spans="1:8" x14ac:dyDescent="0.35">
      <c r="A483" s="7">
        <v>46095</v>
      </c>
      <c r="B483" s="5" t="s">
        <v>3</v>
      </c>
      <c r="C483" s="5" t="s">
        <v>9</v>
      </c>
      <c r="D483" s="5" t="s">
        <v>19</v>
      </c>
      <c r="E483" s="5">
        <f t="shared" si="34"/>
        <v>3</v>
      </c>
      <c r="F483" s="5" t="str">
        <f t="shared" si="31"/>
        <v>生活費外食3実績</v>
      </c>
      <c r="G483" s="6">
        <v>2690</v>
      </c>
      <c r="H483" s="6" t="s">
        <v>243</v>
      </c>
    </row>
    <row r="484" spans="1:8" x14ac:dyDescent="0.35">
      <c r="A484" s="7">
        <v>46096</v>
      </c>
      <c r="B484" s="5" t="s">
        <v>14</v>
      </c>
      <c r="C484" s="5" t="s">
        <v>20</v>
      </c>
      <c r="D484" s="5" t="s">
        <v>19</v>
      </c>
      <c r="E484" s="5">
        <f t="shared" si="34"/>
        <v>3</v>
      </c>
      <c r="F484" s="5" t="str">
        <f t="shared" si="31"/>
        <v>化粧品-3実績</v>
      </c>
      <c r="G484" s="6">
        <f>6298*(4730)/(4730+2640)</f>
        <v>4042</v>
      </c>
      <c r="H484" s="6" t="s">
        <v>245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34"/>
        <v>3</v>
      </c>
      <c r="F485" s="5" t="str">
        <f t="shared" si="31"/>
        <v>化粧品-3実績</v>
      </c>
      <c r="G485" s="6">
        <f>6298-G484</f>
        <v>2256</v>
      </c>
      <c r="H485" s="6" t="s">
        <v>244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34"/>
        <v>3</v>
      </c>
      <c r="F486" s="5" t="str">
        <f t="shared" si="31"/>
        <v>化粧品-3実績</v>
      </c>
      <c r="G486" s="6">
        <v>5120</v>
      </c>
      <c r="H486" s="6" t="s">
        <v>249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34"/>
        <v>3</v>
      </c>
      <c r="F487" s="5" t="str">
        <f t="shared" si="31"/>
        <v>化粧品-3実績</v>
      </c>
      <c r="G487" s="6">
        <v>2800</v>
      </c>
      <c r="H487" s="6" t="s">
        <v>250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34"/>
        <v>3</v>
      </c>
      <c r="F488" s="5" t="str">
        <f t="shared" si="31"/>
        <v>化粧品-3実績</v>
      </c>
      <c r="G488" s="6">
        <v>880</v>
      </c>
      <c r="H488" s="6" t="s">
        <v>248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34"/>
        <v>3</v>
      </c>
      <c r="F489" s="5" t="str">
        <f t="shared" si="31"/>
        <v>化粧品-3実績</v>
      </c>
      <c r="G489" s="6">
        <v>3461</v>
      </c>
      <c r="H489" s="6" t="s">
        <v>247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34"/>
        <v>3</v>
      </c>
      <c r="F490" s="5" t="str">
        <f t="shared" si="31"/>
        <v>化粧品-3実績</v>
      </c>
      <c r="G490" s="6">
        <v>5060</v>
      </c>
      <c r="H490" s="6" t="s">
        <v>246</v>
      </c>
    </row>
    <row r="491" spans="1:8" x14ac:dyDescent="0.35">
      <c r="A491" s="7">
        <v>46096</v>
      </c>
      <c r="B491" s="5" t="s">
        <v>11</v>
      </c>
      <c r="C491" s="5" t="s">
        <v>85</v>
      </c>
      <c r="D491" s="5" t="s">
        <v>19</v>
      </c>
      <c r="E491" s="5">
        <f t="shared" si="34"/>
        <v>3</v>
      </c>
      <c r="F491" s="5" t="str">
        <f t="shared" si="31"/>
        <v>その他予備費3実績</v>
      </c>
      <c r="G491" s="6">
        <v>1923</v>
      </c>
      <c r="H491" s="6" t="s">
        <v>252</v>
      </c>
    </row>
    <row r="492" spans="1:8" x14ac:dyDescent="0.35">
      <c r="A492" s="7">
        <v>46096</v>
      </c>
      <c r="B492" s="5" t="s">
        <v>1</v>
      </c>
      <c r="C492" s="5" t="s">
        <v>73</v>
      </c>
      <c r="D492" s="5" t="s">
        <v>19</v>
      </c>
      <c r="E492" s="5">
        <f t="shared" si="34"/>
        <v>3</v>
      </c>
      <c r="F492" s="5" t="str">
        <f t="shared" si="31"/>
        <v>服子供3実績</v>
      </c>
      <c r="G492" s="6">
        <v>880</v>
      </c>
      <c r="H492" s="6" t="s">
        <v>253</v>
      </c>
    </row>
    <row r="493" spans="1:8" x14ac:dyDescent="0.35">
      <c r="A493" s="7">
        <v>46096</v>
      </c>
      <c r="B493" s="5" t="s">
        <v>1</v>
      </c>
      <c r="C493" s="5" t="s">
        <v>4</v>
      </c>
      <c r="D493" s="5" t="s">
        <v>19</v>
      </c>
      <c r="E493" s="5">
        <f t="shared" si="34"/>
        <v>3</v>
      </c>
      <c r="F493" s="5" t="str">
        <f t="shared" si="31"/>
        <v>服ゆっこ3実績</v>
      </c>
      <c r="G493" s="6">
        <v>1100</v>
      </c>
      <c r="H493" s="6" t="s">
        <v>254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34"/>
        <v>3</v>
      </c>
      <c r="F494" s="5" t="str">
        <f t="shared" si="31"/>
        <v>服ゆっこ3実績</v>
      </c>
      <c r="G494" s="6">
        <v>12100</v>
      </c>
      <c r="H494" s="6" t="s">
        <v>251</v>
      </c>
    </row>
    <row r="495" spans="1:8" x14ac:dyDescent="0.35">
      <c r="A495" s="7">
        <v>46098</v>
      </c>
      <c r="B495" s="5" t="s">
        <v>3</v>
      </c>
      <c r="C495" s="5" t="s">
        <v>9</v>
      </c>
      <c r="D495" s="5" t="s">
        <v>19</v>
      </c>
      <c r="E495" s="5">
        <f t="shared" ref="E495:E496" si="35">MONTH(A495)</f>
        <v>3</v>
      </c>
      <c r="F495" s="5" t="str">
        <f t="shared" ref="F495:F496" si="36">B495&amp;C495&amp;E495&amp;D495</f>
        <v>生活費外食3実績</v>
      </c>
      <c r="G495" s="6">
        <v>5703</v>
      </c>
      <c r="H495" s="6" t="s">
        <v>255</v>
      </c>
    </row>
    <row r="496" spans="1:8" x14ac:dyDescent="0.35">
      <c r="A496" s="7">
        <v>46101</v>
      </c>
      <c r="B496" s="5" t="s">
        <v>0</v>
      </c>
      <c r="C496" s="5" t="s">
        <v>20</v>
      </c>
      <c r="D496" s="5" t="s">
        <v>19</v>
      </c>
      <c r="E496" s="5">
        <f t="shared" si="35"/>
        <v>3</v>
      </c>
      <c r="F496" s="5" t="str">
        <f t="shared" si="36"/>
        <v>家賃-3実績</v>
      </c>
      <c r="G496" s="6">
        <v>120829</v>
      </c>
      <c r="H496" s="6"/>
    </row>
    <row r="497" spans="1:8" x14ac:dyDescent="0.35">
      <c r="A497" s="7">
        <v>46101</v>
      </c>
      <c r="B497" s="5" t="s">
        <v>1</v>
      </c>
      <c r="C497" s="5" t="s">
        <v>73</v>
      </c>
      <c r="D497" s="5" t="s">
        <v>19</v>
      </c>
      <c r="E497" s="5">
        <f t="shared" si="34"/>
        <v>3</v>
      </c>
      <c r="F497" s="5" t="str">
        <f t="shared" si="31"/>
        <v>服子供3実績</v>
      </c>
      <c r="G497" s="6">
        <v>3406</v>
      </c>
      <c r="H497" s="6" t="s">
        <v>256</v>
      </c>
    </row>
    <row r="498" spans="1:8" x14ac:dyDescent="0.35">
      <c r="A498" s="7">
        <v>46102</v>
      </c>
      <c r="B498" s="5" t="s">
        <v>3</v>
      </c>
      <c r="C498" s="5" t="s">
        <v>9</v>
      </c>
      <c r="D498" s="5" t="s">
        <v>19</v>
      </c>
      <c r="E498" s="5">
        <f t="shared" si="34"/>
        <v>3</v>
      </c>
      <c r="F498" s="5" t="str">
        <f t="shared" si="31"/>
        <v>生活費外食3実績</v>
      </c>
      <c r="G498" s="6">
        <v>1431</v>
      </c>
      <c r="H498" s="6" t="s">
        <v>109</v>
      </c>
    </row>
    <row r="499" spans="1:8" x14ac:dyDescent="0.35">
      <c r="A499" s="7">
        <v>46104</v>
      </c>
      <c r="B499" s="5" t="s">
        <v>21</v>
      </c>
      <c r="C499" s="5" t="s">
        <v>20</v>
      </c>
      <c r="D499" s="5" t="s">
        <v>19</v>
      </c>
      <c r="E499" s="5">
        <f t="shared" si="34"/>
        <v>3</v>
      </c>
      <c r="F499" s="5" t="str">
        <f t="shared" si="31"/>
        <v>医療費-3実績</v>
      </c>
      <c r="G499" s="6">
        <v>200</v>
      </c>
      <c r="H499" s="6" t="s">
        <v>257</v>
      </c>
    </row>
    <row r="500" spans="1:8" x14ac:dyDescent="0.35">
      <c r="A500" s="7">
        <v>46105</v>
      </c>
      <c r="B500" s="5" t="s">
        <v>15</v>
      </c>
      <c r="C500" s="5" t="s">
        <v>57</v>
      </c>
      <c r="D500" s="5" t="s">
        <v>19</v>
      </c>
      <c r="E500" s="5">
        <f t="shared" si="34"/>
        <v>3</v>
      </c>
      <c r="F500" s="5" t="str">
        <f t="shared" si="31"/>
        <v>習い事英会話3実績</v>
      </c>
      <c r="G500" s="6">
        <v>2980</v>
      </c>
      <c r="H500" s="6"/>
    </row>
    <row r="501" spans="1:8" x14ac:dyDescent="0.35">
      <c r="A501" s="7">
        <v>46105</v>
      </c>
      <c r="B501" s="5" t="s">
        <v>11</v>
      </c>
      <c r="C501" s="5" t="s">
        <v>85</v>
      </c>
      <c r="D501" s="5" t="s">
        <v>19</v>
      </c>
      <c r="E501" s="5">
        <f t="shared" ref="E501" si="37">MONTH(A501)</f>
        <v>3</v>
      </c>
      <c r="F501" s="5" t="str">
        <f t="shared" ref="F501" si="38">B501&amp;C501&amp;E501&amp;D501</f>
        <v>その他予備費3実績</v>
      </c>
      <c r="G501" s="6">
        <v>3527</v>
      </c>
      <c r="H501" s="6" t="s">
        <v>258</v>
      </c>
    </row>
    <row r="502" spans="1:8" x14ac:dyDescent="0.35">
      <c r="A502" s="7">
        <v>46105</v>
      </c>
      <c r="B502" s="5" t="s">
        <v>260</v>
      </c>
      <c r="C502" s="5" t="s">
        <v>8</v>
      </c>
      <c r="D502" s="5" t="s">
        <v>261</v>
      </c>
      <c r="E502" s="5">
        <f t="shared" si="34"/>
        <v>3</v>
      </c>
      <c r="F502" s="5" t="str">
        <f t="shared" si="31"/>
        <v>学費ことは3実績</v>
      </c>
      <c r="G502" s="6">
        <v>7643</v>
      </c>
      <c r="H502" s="6" t="s">
        <v>259</v>
      </c>
    </row>
    <row r="503" spans="1:8" x14ac:dyDescent="0.35">
      <c r="A503" s="7">
        <v>46106</v>
      </c>
      <c r="B503" s="5" t="s">
        <v>13</v>
      </c>
      <c r="C503" s="5" t="s">
        <v>45</v>
      </c>
      <c r="D503" s="5" t="s">
        <v>19</v>
      </c>
      <c r="E503" s="5">
        <f t="shared" si="34"/>
        <v>3</v>
      </c>
      <c r="F503" s="5" t="str">
        <f t="shared" si="31"/>
        <v>通信料GPS3実績</v>
      </c>
      <c r="G503" s="6">
        <v>539</v>
      </c>
      <c r="H503" s="6"/>
    </row>
    <row r="504" spans="1:8" x14ac:dyDescent="0.35">
      <c r="A504" s="7">
        <v>46106</v>
      </c>
      <c r="B504" s="5" t="s">
        <v>13</v>
      </c>
      <c r="C504" s="5" t="s">
        <v>2</v>
      </c>
      <c r="D504" s="5" t="s">
        <v>19</v>
      </c>
      <c r="E504" s="5">
        <f t="shared" si="34"/>
        <v>3</v>
      </c>
      <c r="F504" s="5" t="str">
        <f t="shared" si="31"/>
        <v>通信料りょう3実績</v>
      </c>
      <c r="G504" s="6">
        <v>3369</v>
      </c>
      <c r="H504" s="6" t="s">
        <v>270</v>
      </c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ref="E505" si="39">MONTH(A505)</f>
        <v>3</v>
      </c>
      <c r="F505" s="5" t="str">
        <f t="shared" ref="F505" si="40">B505&amp;C505&amp;E505&amp;D505</f>
        <v>通信料りょう3実績</v>
      </c>
      <c r="G505" s="6">
        <v>1831</v>
      </c>
      <c r="H505" s="6" t="s">
        <v>271</v>
      </c>
    </row>
    <row r="506" spans="1:8" x14ac:dyDescent="0.35">
      <c r="A506" s="7">
        <v>46106</v>
      </c>
      <c r="B506" s="5" t="s">
        <v>13</v>
      </c>
      <c r="C506" s="5" t="s">
        <v>4</v>
      </c>
      <c r="D506" s="5" t="s">
        <v>19</v>
      </c>
      <c r="E506" s="5">
        <f t="shared" si="34"/>
        <v>3</v>
      </c>
      <c r="F506" s="5" t="str">
        <f t="shared" si="31"/>
        <v>通信料ゆっこ3実績</v>
      </c>
      <c r="G506" s="6">
        <v>3573</v>
      </c>
      <c r="H506" s="6"/>
    </row>
    <row r="507" spans="1:8" x14ac:dyDescent="0.35">
      <c r="A507" s="7">
        <v>46106</v>
      </c>
      <c r="B507" s="5" t="s">
        <v>16</v>
      </c>
      <c r="C507" s="5" t="s">
        <v>61</v>
      </c>
      <c r="D507" s="5" t="s">
        <v>19</v>
      </c>
      <c r="E507" s="5">
        <f t="shared" si="34"/>
        <v>3</v>
      </c>
      <c r="F507" s="5" t="str">
        <f t="shared" si="31"/>
        <v>保険ゆっこ医療3実績</v>
      </c>
      <c r="G507" s="6">
        <v>2924</v>
      </c>
      <c r="H507" s="6"/>
    </row>
    <row r="508" spans="1:8" x14ac:dyDescent="0.35">
      <c r="A508" s="7">
        <v>46106</v>
      </c>
      <c r="B508" s="5" t="s">
        <v>47</v>
      </c>
      <c r="C508" s="5" t="s">
        <v>49</v>
      </c>
      <c r="D508" s="5" t="s">
        <v>19</v>
      </c>
      <c r="E508" s="5">
        <f t="shared" si="34"/>
        <v>3</v>
      </c>
      <c r="F508" s="5" t="str">
        <f t="shared" si="31"/>
        <v>サブスクiCloud3実績</v>
      </c>
      <c r="G508" s="6">
        <v>450</v>
      </c>
      <c r="H508" s="6"/>
    </row>
    <row r="509" spans="1:8" x14ac:dyDescent="0.35">
      <c r="A509" s="7">
        <v>46106</v>
      </c>
      <c r="B509" s="5" t="s">
        <v>16</v>
      </c>
      <c r="C509" s="5" t="s">
        <v>59</v>
      </c>
      <c r="D509" s="5" t="s">
        <v>19</v>
      </c>
      <c r="E509" s="5">
        <f t="shared" si="34"/>
        <v>3</v>
      </c>
      <c r="F509" s="5" t="str">
        <f t="shared" si="31"/>
        <v>保険りょう死亡3実績</v>
      </c>
      <c r="G509" s="6">
        <v>1780</v>
      </c>
      <c r="H509" s="6"/>
    </row>
    <row r="510" spans="1:8" x14ac:dyDescent="0.35">
      <c r="A510" s="7">
        <v>46106</v>
      </c>
      <c r="B510" s="5" t="s">
        <v>16</v>
      </c>
      <c r="C510" s="5" t="s">
        <v>60</v>
      </c>
      <c r="D510" s="5" t="s">
        <v>19</v>
      </c>
      <c r="E510" s="5">
        <f t="shared" si="34"/>
        <v>3</v>
      </c>
      <c r="F510" s="5" t="str">
        <f t="shared" si="31"/>
        <v>保険りょう医療3実績</v>
      </c>
      <c r="G510" s="6">
        <v>2572</v>
      </c>
      <c r="H510" s="6"/>
    </row>
    <row r="511" spans="1:8" x14ac:dyDescent="0.35">
      <c r="A511" s="7">
        <v>46106</v>
      </c>
      <c r="B511" s="5" t="s">
        <v>87</v>
      </c>
      <c r="C511" s="5" t="s">
        <v>31</v>
      </c>
      <c r="D511" s="5" t="s">
        <v>19</v>
      </c>
      <c r="E511" s="5">
        <f t="shared" si="34"/>
        <v>3</v>
      </c>
      <c r="F511" s="5" t="str">
        <f>B511&amp;C511&amp;E511&amp;D511</f>
        <v>こずかいゆっこ3実績</v>
      </c>
      <c r="G511" s="6">
        <v>25000</v>
      </c>
      <c r="H511" s="6"/>
    </row>
    <row r="512" spans="1:8" x14ac:dyDescent="0.35">
      <c r="A512" s="7">
        <v>46106</v>
      </c>
      <c r="B512" s="5" t="s">
        <v>87</v>
      </c>
      <c r="C512" s="5" t="s">
        <v>2</v>
      </c>
      <c r="D512" s="5" t="s">
        <v>19</v>
      </c>
      <c r="E512" s="5">
        <f t="shared" si="34"/>
        <v>3</v>
      </c>
      <c r="F512" s="5" t="str">
        <f t="shared" ref="F512:F515" si="41">B512&amp;C512&amp;E512&amp;D512</f>
        <v>こずかいりょう3実績</v>
      </c>
      <c r="G512" s="6">
        <v>25000</v>
      </c>
      <c r="H512" s="6"/>
    </row>
    <row r="513" spans="1:9" x14ac:dyDescent="0.35">
      <c r="A513" s="7">
        <v>46106</v>
      </c>
      <c r="B513" s="5" t="s">
        <v>17</v>
      </c>
      <c r="C513" s="5" t="s">
        <v>20</v>
      </c>
      <c r="D513" s="5" t="s">
        <v>19</v>
      </c>
      <c r="E513" s="5">
        <f t="shared" si="34"/>
        <v>3</v>
      </c>
      <c r="F513" s="5" t="str">
        <f t="shared" si="41"/>
        <v>奨学金-3実績</v>
      </c>
      <c r="G513" s="6">
        <v>10125</v>
      </c>
      <c r="H513" s="6"/>
    </row>
    <row r="514" spans="1:9" x14ac:dyDescent="0.35">
      <c r="A514" s="7">
        <v>46106</v>
      </c>
      <c r="B514" s="5" t="s">
        <v>15</v>
      </c>
      <c r="C514" s="5" t="s">
        <v>55</v>
      </c>
      <c r="D514" s="5" t="s">
        <v>19</v>
      </c>
      <c r="E514" s="5">
        <f t="shared" si="34"/>
        <v>3</v>
      </c>
      <c r="F514" s="5" t="str">
        <f t="shared" si="41"/>
        <v>習い事バレエ3実績</v>
      </c>
      <c r="G514" s="6">
        <v>9020</v>
      </c>
      <c r="H514" s="6"/>
    </row>
    <row r="515" spans="1:9" x14ac:dyDescent="0.35">
      <c r="A515" s="7">
        <v>46106</v>
      </c>
      <c r="B515" s="5" t="s">
        <v>15</v>
      </c>
      <c r="C515" s="5" t="s">
        <v>54</v>
      </c>
      <c r="D515" s="5" t="s">
        <v>19</v>
      </c>
      <c r="E515" s="5">
        <f t="shared" si="34"/>
        <v>3</v>
      </c>
      <c r="F515" s="5" t="str">
        <f t="shared" si="41"/>
        <v>習い事公文3実績</v>
      </c>
      <c r="G515" s="6">
        <v>14960</v>
      </c>
      <c r="H515" s="6"/>
    </row>
    <row r="516" spans="1:9" x14ac:dyDescent="0.35">
      <c r="A516" s="7">
        <v>46112</v>
      </c>
      <c r="B516" s="5" t="s">
        <v>263</v>
      </c>
      <c r="C516" s="5" t="s">
        <v>264</v>
      </c>
      <c r="D516" s="5" t="s">
        <v>19</v>
      </c>
      <c r="E516" s="5">
        <f t="shared" si="34"/>
        <v>3</v>
      </c>
      <c r="F516" s="5" t="str">
        <f t="shared" si="31"/>
        <v>生活費-3実績</v>
      </c>
      <c r="G516" s="6">
        <v>108867</v>
      </c>
      <c r="H516" s="6"/>
    </row>
    <row r="517" spans="1:9" x14ac:dyDescent="0.35">
      <c r="A517" s="7">
        <v>46106</v>
      </c>
      <c r="B517" s="5" t="s">
        <v>7</v>
      </c>
      <c r="C517" s="5" t="s">
        <v>265</v>
      </c>
      <c r="D517" s="5" t="s">
        <v>19</v>
      </c>
      <c r="E517" s="5">
        <f t="shared" si="34"/>
        <v>3</v>
      </c>
      <c r="F517" s="5" t="str">
        <f t="shared" si="31"/>
        <v>光熱費ガス3実績</v>
      </c>
      <c r="G517" s="6">
        <v>9689</v>
      </c>
      <c r="H517" s="6" t="s">
        <v>276</v>
      </c>
    </row>
    <row r="518" spans="1:9" x14ac:dyDescent="0.35">
      <c r="A518" s="7">
        <v>46106</v>
      </c>
      <c r="B518" s="5" t="s">
        <v>205</v>
      </c>
      <c r="C518" s="5" t="s">
        <v>266</v>
      </c>
      <c r="D518" s="5" t="s">
        <v>19</v>
      </c>
      <c r="E518" s="5">
        <f t="shared" si="34"/>
        <v>3</v>
      </c>
      <c r="F518" s="5" t="str">
        <f t="shared" si="31"/>
        <v>娯楽費その他3実績</v>
      </c>
      <c r="G518" s="6">
        <v>61995</v>
      </c>
      <c r="H518" s="6" t="s">
        <v>268</v>
      </c>
      <c r="I518" t="s">
        <v>262</v>
      </c>
    </row>
    <row r="519" spans="1:9" x14ac:dyDescent="0.35">
      <c r="A519" s="7">
        <v>46106</v>
      </c>
      <c r="B519" s="5" t="s">
        <v>263</v>
      </c>
      <c r="C519" s="5" t="s">
        <v>267</v>
      </c>
      <c r="D519" s="5" t="s">
        <v>19</v>
      </c>
      <c r="E519" s="5">
        <f t="shared" si="34"/>
        <v>3</v>
      </c>
      <c r="F519" s="5" t="str">
        <f t="shared" si="31"/>
        <v>生活費外食3実績</v>
      </c>
      <c r="G519" s="6">
        <v>5710</v>
      </c>
      <c r="H519" s="6"/>
    </row>
    <row r="520" spans="1:9" x14ac:dyDescent="0.35">
      <c r="A520" s="7">
        <v>46110</v>
      </c>
      <c r="B520" s="5" t="s">
        <v>269</v>
      </c>
      <c r="C520" s="5" t="s">
        <v>9</v>
      </c>
      <c r="D520" s="5" t="s">
        <v>19</v>
      </c>
      <c r="E520" s="5">
        <f t="shared" si="34"/>
        <v>3</v>
      </c>
      <c r="F520" s="5" t="str">
        <f t="shared" si="31"/>
        <v>生活費外食3実績</v>
      </c>
      <c r="G520" s="6">
        <v>9075</v>
      </c>
      <c r="H520" s="6" t="s">
        <v>277</v>
      </c>
    </row>
    <row r="521" spans="1:9" x14ac:dyDescent="0.35">
      <c r="A521" s="7">
        <v>46110</v>
      </c>
      <c r="B521" s="5" t="s">
        <v>272</v>
      </c>
      <c r="C521" s="5" t="s">
        <v>5</v>
      </c>
      <c r="D521" s="5" t="s">
        <v>19</v>
      </c>
      <c r="E521" s="5">
        <f t="shared" si="34"/>
        <v>3</v>
      </c>
      <c r="F521" s="5" t="str">
        <f t="shared" si="31"/>
        <v>学費みなと3実績</v>
      </c>
      <c r="G521" s="6">
        <v>2000</v>
      </c>
      <c r="H521" s="6" t="s">
        <v>273</v>
      </c>
    </row>
    <row r="522" spans="1:9" x14ac:dyDescent="0.35">
      <c r="A522" s="7">
        <v>46110</v>
      </c>
      <c r="B522" s="5" t="s">
        <v>272</v>
      </c>
      <c r="C522" s="5" t="s">
        <v>8</v>
      </c>
      <c r="D522" s="5" t="s">
        <v>19</v>
      </c>
      <c r="E522" s="5">
        <f t="shared" si="34"/>
        <v>3</v>
      </c>
      <c r="F522" s="5" t="str">
        <f t="shared" si="31"/>
        <v>学費ことは3実績</v>
      </c>
      <c r="G522" s="6">
        <v>2000</v>
      </c>
      <c r="H522" s="6" t="s">
        <v>273</v>
      </c>
    </row>
    <row r="523" spans="1:9" x14ac:dyDescent="0.35">
      <c r="A523" s="7">
        <v>46110</v>
      </c>
      <c r="B523" s="5" t="s">
        <v>274</v>
      </c>
      <c r="C523" s="5" t="s">
        <v>275</v>
      </c>
      <c r="D523" s="5" t="s">
        <v>19</v>
      </c>
      <c r="E523" s="5">
        <f t="shared" si="34"/>
        <v>3</v>
      </c>
      <c r="F523" s="5" t="str">
        <f t="shared" si="31"/>
        <v>その他通勤定期3実績</v>
      </c>
      <c r="G523" s="6">
        <v>123830</v>
      </c>
      <c r="H523" s="6"/>
    </row>
    <row r="524" spans="1:9" x14ac:dyDescent="0.35">
      <c r="A524" s="7">
        <v>46113</v>
      </c>
      <c r="B524" s="5" t="s">
        <v>6</v>
      </c>
      <c r="C524" s="5" t="s">
        <v>5</v>
      </c>
      <c r="D524" s="5" t="s">
        <v>19</v>
      </c>
      <c r="E524" s="5">
        <f t="shared" si="34"/>
        <v>4</v>
      </c>
      <c r="F524" s="5" t="str">
        <f t="shared" ref="F524" si="42">B524&amp;C524&amp;E524&amp;D524</f>
        <v>学費みなと4実績</v>
      </c>
      <c r="G524" s="6">
        <v>5150</v>
      </c>
      <c r="H524" s="6" t="s">
        <v>33</v>
      </c>
    </row>
    <row r="525" spans="1:9" x14ac:dyDescent="0.35">
      <c r="A525" s="7">
        <v>46111</v>
      </c>
      <c r="B525" s="5" t="s">
        <v>278</v>
      </c>
      <c r="C525" s="5" t="s">
        <v>279</v>
      </c>
      <c r="D525" s="5" t="s">
        <v>19</v>
      </c>
      <c r="E525" s="5">
        <f t="shared" si="34"/>
        <v>3</v>
      </c>
      <c r="F525" s="5" t="str">
        <f t="shared" si="31"/>
        <v>医療費-3実績</v>
      </c>
      <c r="G525" s="6">
        <v>1760</v>
      </c>
      <c r="H525" s="6" t="s">
        <v>280</v>
      </c>
    </row>
    <row r="526" spans="1:9" x14ac:dyDescent="0.35">
      <c r="A526" s="7">
        <v>46111</v>
      </c>
      <c r="B526" s="5" t="s">
        <v>281</v>
      </c>
      <c r="C526" s="5" t="s">
        <v>282</v>
      </c>
      <c r="D526" s="5" t="s">
        <v>19</v>
      </c>
      <c r="E526" s="5">
        <f t="shared" si="34"/>
        <v>3</v>
      </c>
      <c r="F526" s="5" t="str">
        <f t="shared" si="31"/>
        <v>服子供3実績</v>
      </c>
      <c r="G526" s="6">
        <v>876</v>
      </c>
      <c r="H526" s="6" t="s">
        <v>283</v>
      </c>
    </row>
    <row r="527" spans="1:9" x14ac:dyDescent="0.35">
      <c r="A527" s="7">
        <v>46115</v>
      </c>
      <c r="B527" s="5" t="s">
        <v>285</v>
      </c>
      <c r="C527" s="5" t="s">
        <v>286</v>
      </c>
      <c r="D527" s="5" t="s">
        <v>19</v>
      </c>
      <c r="E527" s="5">
        <f t="shared" si="34"/>
        <v>4</v>
      </c>
      <c r="F527" s="5" t="str">
        <f t="shared" si="31"/>
        <v>生活費外食4実績</v>
      </c>
      <c r="G527" s="6">
        <v>5687</v>
      </c>
      <c r="H527" s="6" t="s">
        <v>284</v>
      </c>
    </row>
    <row r="528" spans="1:9" x14ac:dyDescent="0.35">
      <c r="A528" s="7">
        <v>46115</v>
      </c>
      <c r="B528" s="5" t="s">
        <v>21</v>
      </c>
      <c r="C528" s="5" t="s">
        <v>20</v>
      </c>
      <c r="D528" s="5" t="s">
        <v>19</v>
      </c>
      <c r="E528" s="5">
        <f t="shared" si="34"/>
        <v>4</v>
      </c>
      <c r="F528" s="5" t="str">
        <f t="shared" si="31"/>
        <v>医療費-4実績</v>
      </c>
      <c r="G528" s="6">
        <v>400</v>
      </c>
      <c r="H528" s="6" t="s">
        <v>287</v>
      </c>
    </row>
    <row r="529" spans="1:8" x14ac:dyDescent="0.35">
      <c r="A529" s="7">
        <v>46117</v>
      </c>
      <c r="B529" s="5" t="s">
        <v>288</v>
      </c>
      <c r="C529" s="5" t="s">
        <v>289</v>
      </c>
      <c r="D529" s="5" t="s">
        <v>290</v>
      </c>
      <c r="E529" s="5">
        <f t="shared" si="34"/>
        <v>4</v>
      </c>
      <c r="F529" s="5" t="str">
        <f t="shared" si="31"/>
        <v>生活費外食4実績</v>
      </c>
      <c r="G529" s="6">
        <v>1290</v>
      </c>
      <c r="H529" s="6" t="s">
        <v>291</v>
      </c>
    </row>
    <row r="530" spans="1:8" x14ac:dyDescent="0.35">
      <c r="A530" s="7">
        <v>46117</v>
      </c>
      <c r="B530" s="5" t="s">
        <v>292</v>
      </c>
      <c r="C530" s="5" t="s">
        <v>293</v>
      </c>
      <c r="D530" s="5" t="s">
        <v>19</v>
      </c>
      <c r="E530" s="5">
        <f t="shared" si="34"/>
        <v>4</v>
      </c>
      <c r="F530" s="5" t="str">
        <f t="shared" si="31"/>
        <v>習い事バレエ4実績</v>
      </c>
      <c r="G530" s="6">
        <v>3961</v>
      </c>
      <c r="H530" s="6" t="s">
        <v>294</v>
      </c>
    </row>
    <row r="531" spans="1:8" x14ac:dyDescent="0.35">
      <c r="A531" s="7">
        <v>46118</v>
      </c>
      <c r="B531" s="5" t="s">
        <v>295</v>
      </c>
      <c r="C531" s="5" t="s">
        <v>296</v>
      </c>
      <c r="D531" s="5" t="s">
        <v>19</v>
      </c>
      <c r="E531" s="5">
        <f t="shared" si="34"/>
        <v>4</v>
      </c>
      <c r="F531" s="5" t="str">
        <f t="shared" si="31"/>
        <v>化粧品-4実績</v>
      </c>
      <c r="G531" s="6">
        <v>1760</v>
      </c>
      <c r="H531" s="6" t="s">
        <v>297</v>
      </c>
    </row>
    <row r="532" spans="1:8" x14ac:dyDescent="0.35">
      <c r="A532" s="7">
        <v>46118</v>
      </c>
      <c r="B532" s="5" t="s">
        <v>298</v>
      </c>
      <c r="C532" s="5" t="s">
        <v>8</v>
      </c>
      <c r="D532" s="5" t="s">
        <v>19</v>
      </c>
      <c r="E532" s="5">
        <f t="shared" si="34"/>
        <v>4</v>
      </c>
      <c r="F532" s="5" t="str">
        <f t="shared" si="31"/>
        <v>学費ことは4実績</v>
      </c>
      <c r="G532" s="6">
        <v>9345</v>
      </c>
      <c r="H532" s="6" t="s">
        <v>299</v>
      </c>
    </row>
    <row r="533" spans="1:8" x14ac:dyDescent="0.35">
      <c r="A533" s="7">
        <v>46119</v>
      </c>
      <c r="B533" s="5" t="s">
        <v>295</v>
      </c>
      <c r="C533" s="5" t="s">
        <v>296</v>
      </c>
      <c r="D533" s="5" t="s">
        <v>19</v>
      </c>
      <c r="E533" s="5">
        <f t="shared" si="34"/>
        <v>4</v>
      </c>
      <c r="F533" s="5" t="str">
        <f t="shared" si="31"/>
        <v>化粧品-4実績</v>
      </c>
      <c r="G533" s="6">
        <v>5400</v>
      </c>
      <c r="H533" s="6" t="s">
        <v>300</v>
      </c>
    </row>
    <row r="534" spans="1:8" x14ac:dyDescent="0.35">
      <c r="A534" s="7">
        <v>46120</v>
      </c>
      <c r="B534" s="5" t="s">
        <v>301</v>
      </c>
      <c r="C534" s="5" t="s">
        <v>8</v>
      </c>
      <c r="D534" s="5" t="s">
        <v>19</v>
      </c>
      <c r="E534" s="5">
        <f t="shared" si="34"/>
        <v>4</v>
      </c>
      <c r="F534" s="5" t="str">
        <f t="shared" si="31"/>
        <v>学費ことは4実績</v>
      </c>
      <c r="G534" s="6">
        <v>1419</v>
      </c>
      <c r="H534" s="6" t="s">
        <v>302</v>
      </c>
    </row>
    <row r="535" spans="1:8" x14ac:dyDescent="0.35">
      <c r="A535" s="7">
        <v>46123</v>
      </c>
      <c r="B535" s="5" t="s">
        <v>303</v>
      </c>
      <c r="C535" s="5" t="s">
        <v>304</v>
      </c>
      <c r="D535" s="5" t="s">
        <v>19</v>
      </c>
      <c r="E535" s="5">
        <f t="shared" si="34"/>
        <v>4</v>
      </c>
      <c r="F535" s="5" t="str">
        <f t="shared" si="31"/>
        <v>服りょう4実績</v>
      </c>
      <c r="G535" s="6">
        <v>1290</v>
      </c>
      <c r="H535" s="6" t="s">
        <v>305</v>
      </c>
    </row>
    <row r="536" spans="1:8" x14ac:dyDescent="0.35">
      <c r="A536" s="7">
        <v>46123</v>
      </c>
      <c r="B536" s="5" t="s">
        <v>3</v>
      </c>
      <c r="C536" s="5" t="s">
        <v>306</v>
      </c>
      <c r="D536" s="5" t="s">
        <v>19</v>
      </c>
      <c r="E536" s="5">
        <f t="shared" si="34"/>
        <v>4</v>
      </c>
      <c r="F536" s="5" t="str">
        <f t="shared" si="31"/>
        <v>生活費外食4実績</v>
      </c>
      <c r="G536" s="6">
        <v>2650</v>
      </c>
      <c r="H536" s="6" t="s">
        <v>307</v>
      </c>
    </row>
    <row r="537" spans="1:8" x14ac:dyDescent="0.35">
      <c r="A537" s="7">
        <v>46123</v>
      </c>
      <c r="B537" s="5" t="s">
        <v>3</v>
      </c>
      <c r="C537" s="5" t="s">
        <v>306</v>
      </c>
      <c r="D537" s="5" t="s">
        <v>19</v>
      </c>
      <c r="E537" s="5">
        <f t="shared" si="34"/>
        <v>4</v>
      </c>
      <c r="F537" s="5" t="str">
        <f t="shared" si="31"/>
        <v>生活費外食4実績</v>
      </c>
      <c r="G537" s="6">
        <v>829</v>
      </c>
      <c r="H537" s="6" t="s">
        <v>308</v>
      </c>
    </row>
    <row r="538" spans="1:8" x14ac:dyDescent="0.35">
      <c r="A538" s="7">
        <v>46123</v>
      </c>
      <c r="B538" s="5" t="s">
        <v>1</v>
      </c>
      <c r="C538" s="5" t="s">
        <v>309</v>
      </c>
      <c r="D538" s="5" t="s">
        <v>19</v>
      </c>
      <c r="E538" s="5">
        <f t="shared" si="34"/>
        <v>4</v>
      </c>
      <c r="F538" s="5" t="str">
        <f t="shared" si="31"/>
        <v>服子供4実績</v>
      </c>
      <c r="G538" s="6">
        <v>16479</v>
      </c>
      <c r="H538" s="6"/>
    </row>
    <row r="539" spans="1:8" x14ac:dyDescent="0.35">
      <c r="A539" s="7">
        <v>46123</v>
      </c>
      <c r="B539" s="5" t="s">
        <v>1</v>
      </c>
      <c r="C539" s="5" t="s">
        <v>310</v>
      </c>
      <c r="D539" s="5" t="s">
        <v>19</v>
      </c>
      <c r="E539" s="5">
        <f t="shared" si="34"/>
        <v>4</v>
      </c>
      <c r="F539" s="5" t="str">
        <f t="shared" si="31"/>
        <v>服ゆっこ4実績</v>
      </c>
      <c r="G539" s="6">
        <v>1490</v>
      </c>
      <c r="H539" s="6" t="s">
        <v>311</v>
      </c>
    </row>
    <row r="540" spans="1:8" x14ac:dyDescent="0.35">
      <c r="A540" s="7"/>
      <c r="B540" s="5"/>
      <c r="C540" s="5"/>
      <c r="D540" s="5"/>
      <c r="E540" s="5">
        <f t="shared" si="34"/>
        <v>1</v>
      </c>
      <c r="F540" s="5" t="str">
        <f t="shared" si="31"/>
        <v>1</v>
      </c>
      <c r="G540" s="6"/>
      <c r="H540" s="6"/>
    </row>
    <row r="541" spans="1:8" x14ac:dyDescent="0.35">
      <c r="A541" s="7"/>
      <c r="B541" s="5"/>
      <c r="C541" s="5"/>
      <c r="D541" s="5"/>
      <c r="E541" s="5">
        <f t="shared" si="34"/>
        <v>1</v>
      </c>
      <c r="F541" s="5" t="str">
        <f t="shared" si="31"/>
        <v>1</v>
      </c>
      <c r="G541" s="6"/>
      <c r="H541" s="6"/>
    </row>
    <row r="542" spans="1:8" x14ac:dyDescent="0.35">
      <c r="A542" s="7"/>
      <c r="B542" s="5"/>
      <c r="C542" s="5"/>
      <c r="D542" s="5"/>
      <c r="E542" s="5">
        <f t="shared" si="34"/>
        <v>1</v>
      </c>
      <c r="F542" s="5" t="str">
        <f t="shared" si="31"/>
        <v>1</v>
      </c>
      <c r="G542" s="6"/>
      <c r="H542" s="6"/>
    </row>
    <row r="543" spans="1:8" x14ac:dyDescent="0.35">
      <c r="A543" s="7"/>
      <c r="B543" s="5"/>
      <c r="C543" s="5"/>
      <c r="D543" s="5"/>
      <c r="E543" s="5">
        <f t="shared" si="34"/>
        <v>1</v>
      </c>
      <c r="F543" s="5" t="str">
        <f t="shared" si="31"/>
        <v>1</v>
      </c>
      <c r="G543" s="6"/>
      <c r="H543" s="6"/>
    </row>
    <row r="544" spans="1:8" x14ac:dyDescent="0.35">
      <c r="A544" s="7"/>
      <c r="B544" s="5"/>
      <c r="C544" s="5"/>
      <c r="D544" s="5"/>
      <c r="E544" s="5">
        <f t="shared" si="34"/>
        <v>1</v>
      </c>
      <c r="F544" s="5" t="str">
        <f t="shared" si="31"/>
        <v>1</v>
      </c>
      <c r="G544" s="6"/>
      <c r="H544" s="6"/>
    </row>
    <row r="545" spans="1:8" x14ac:dyDescent="0.35">
      <c r="A545" s="7"/>
      <c r="B545" s="5"/>
      <c r="C545" s="5"/>
      <c r="D545" s="5"/>
      <c r="E545" s="5">
        <f t="shared" si="34"/>
        <v>1</v>
      </c>
      <c r="F545" s="5" t="str">
        <f t="shared" si="31"/>
        <v>1</v>
      </c>
      <c r="G545" s="6"/>
      <c r="H545" s="6"/>
    </row>
    <row r="546" spans="1:8" x14ac:dyDescent="0.35">
      <c r="A546" s="7"/>
      <c r="B546" s="5"/>
      <c r="C546" s="5"/>
      <c r="D546" s="5"/>
      <c r="E546" s="5">
        <f t="shared" si="34"/>
        <v>1</v>
      </c>
      <c r="F546" s="5" t="str">
        <f t="shared" si="31"/>
        <v>1</v>
      </c>
      <c r="G546" s="6"/>
      <c r="H546" s="6"/>
    </row>
    <row r="547" spans="1:8" x14ac:dyDescent="0.35">
      <c r="A547" s="7"/>
      <c r="B547" s="5"/>
      <c r="C547" s="5"/>
      <c r="D547" s="5"/>
      <c r="E547" s="5">
        <f t="shared" ref="E547:E610" si="43">MONTH(A547)</f>
        <v>1</v>
      </c>
      <c r="F547" s="5" t="str">
        <f t="shared" si="31"/>
        <v>1</v>
      </c>
      <c r="G547" s="6"/>
      <c r="H547" s="6"/>
    </row>
    <row r="548" spans="1:8" x14ac:dyDescent="0.35">
      <c r="A548" s="7"/>
      <c r="B548" s="5"/>
      <c r="C548" s="5"/>
      <c r="D548" s="5"/>
      <c r="E548" s="5">
        <f t="shared" si="43"/>
        <v>1</v>
      </c>
      <c r="F548" s="5" t="str">
        <f t="shared" si="31"/>
        <v>1</v>
      </c>
      <c r="G548" s="6"/>
      <c r="H548" s="6"/>
    </row>
    <row r="549" spans="1:8" x14ac:dyDescent="0.35">
      <c r="A549" s="7"/>
      <c r="B549" s="5"/>
      <c r="C549" s="5"/>
      <c r="D549" s="5"/>
      <c r="E549" s="5">
        <f t="shared" si="43"/>
        <v>1</v>
      </c>
      <c r="F549" s="5" t="str">
        <f t="shared" si="31"/>
        <v>1</v>
      </c>
      <c r="G549" s="6"/>
      <c r="H549" s="6"/>
    </row>
    <row r="550" spans="1:8" x14ac:dyDescent="0.35">
      <c r="A550" s="7"/>
      <c r="B550" s="5"/>
      <c r="C550" s="5"/>
      <c r="D550" s="5"/>
      <c r="E550" s="5">
        <f t="shared" si="43"/>
        <v>1</v>
      </c>
      <c r="F550" s="5" t="str">
        <f t="shared" si="31"/>
        <v>1</v>
      </c>
      <c r="G550" s="6"/>
      <c r="H550" s="6"/>
    </row>
    <row r="551" spans="1:8" x14ac:dyDescent="0.35">
      <c r="A551" s="7"/>
      <c r="B551" s="5"/>
      <c r="C551" s="5"/>
      <c r="D551" s="5"/>
      <c r="E551" s="5">
        <f t="shared" si="43"/>
        <v>1</v>
      </c>
      <c r="F551" s="5" t="str">
        <f t="shared" si="31"/>
        <v>1</v>
      </c>
      <c r="G551" s="6"/>
      <c r="H551" s="6"/>
    </row>
    <row r="552" spans="1:8" x14ac:dyDescent="0.35">
      <c r="A552" s="7"/>
      <c r="B552" s="5"/>
      <c r="C552" s="5"/>
      <c r="D552" s="5"/>
      <c r="E552" s="5">
        <f t="shared" si="43"/>
        <v>1</v>
      </c>
      <c r="F552" s="5" t="str">
        <f t="shared" si="31"/>
        <v>1</v>
      </c>
      <c r="G552" s="6"/>
      <c r="H552" s="6"/>
    </row>
    <row r="553" spans="1:8" x14ac:dyDescent="0.35">
      <c r="A553" s="7"/>
      <c r="B553" s="5"/>
      <c r="C553" s="5"/>
      <c r="D553" s="5"/>
      <c r="E553" s="5">
        <f t="shared" si="43"/>
        <v>1</v>
      </c>
      <c r="F553" s="5" t="str">
        <f t="shared" si="31"/>
        <v>1</v>
      </c>
      <c r="G553" s="6"/>
      <c r="H553" s="6"/>
    </row>
    <row r="554" spans="1:8" x14ac:dyDescent="0.35">
      <c r="A554" s="7"/>
      <c r="B554" s="5"/>
      <c r="C554" s="5"/>
      <c r="D554" s="5"/>
      <c r="E554" s="5">
        <f t="shared" si="43"/>
        <v>1</v>
      </c>
      <c r="F554" s="5" t="str">
        <f t="shared" si="31"/>
        <v>1</v>
      </c>
      <c r="G554" s="6"/>
      <c r="H554" s="6"/>
    </row>
    <row r="555" spans="1:8" x14ac:dyDescent="0.35">
      <c r="A555" s="7"/>
      <c r="B555" s="5"/>
      <c r="C555" s="5"/>
      <c r="D555" s="5"/>
      <c r="E555" s="5">
        <f t="shared" si="43"/>
        <v>1</v>
      </c>
      <c r="F555" s="5" t="str">
        <f t="shared" si="31"/>
        <v>1</v>
      </c>
      <c r="G555" s="6"/>
      <c r="H555" s="6"/>
    </row>
    <row r="556" spans="1:8" x14ac:dyDescent="0.35">
      <c r="A556" s="7"/>
      <c r="B556" s="5"/>
      <c r="C556" s="5"/>
      <c r="D556" s="5"/>
      <c r="E556" s="5">
        <f t="shared" si="43"/>
        <v>1</v>
      </c>
      <c r="F556" s="5" t="str">
        <f t="shared" si="31"/>
        <v>1</v>
      </c>
      <c r="G556" s="6"/>
      <c r="H556" s="6"/>
    </row>
    <row r="557" spans="1:8" x14ac:dyDescent="0.35">
      <c r="A557" s="7"/>
      <c r="B557" s="5"/>
      <c r="C557" s="5"/>
      <c r="D557" s="5"/>
      <c r="E557" s="5">
        <f t="shared" si="43"/>
        <v>1</v>
      </c>
      <c r="F557" s="5" t="str">
        <f t="shared" si="31"/>
        <v>1</v>
      </c>
      <c r="G557" s="6"/>
      <c r="H557" s="6"/>
    </row>
    <row r="558" spans="1:8" x14ac:dyDescent="0.35">
      <c r="A558" s="7"/>
      <c r="B558" s="5"/>
      <c r="C558" s="5"/>
      <c r="D558" s="5"/>
      <c r="E558" s="5">
        <f t="shared" si="43"/>
        <v>1</v>
      </c>
      <c r="F558" s="5" t="str">
        <f t="shared" si="31"/>
        <v>1</v>
      </c>
      <c r="G558" s="6"/>
      <c r="H558" s="6"/>
    </row>
    <row r="559" spans="1:8" x14ac:dyDescent="0.35">
      <c r="A559" s="7"/>
      <c r="B559" s="5"/>
      <c r="C559" s="5"/>
      <c r="D559" s="5"/>
      <c r="E559" s="5">
        <f t="shared" si="43"/>
        <v>1</v>
      </c>
      <c r="F559" s="5" t="str">
        <f t="shared" si="31"/>
        <v>1</v>
      </c>
      <c r="G559" s="6"/>
      <c r="H559" s="6"/>
    </row>
    <row r="560" spans="1:8" x14ac:dyDescent="0.35">
      <c r="A560" s="7"/>
      <c r="B560" s="5"/>
      <c r="C560" s="5"/>
      <c r="D560" s="5"/>
      <c r="E560" s="5">
        <f t="shared" si="43"/>
        <v>1</v>
      </c>
      <c r="F560" s="5" t="str">
        <f t="shared" si="31"/>
        <v>1</v>
      </c>
      <c r="G560" s="6"/>
      <c r="H560" s="6"/>
    </row>
    <row r="561" spans="1:8" x14ac:dyDescent="0.35">
      <c r="A561" s="7"/>
      <c r="B561" s="5"/>
      <c r="C561" s="5"/>
      <c r="D561" s="5"/>
      <c r="E561" s="5">
        <f t="shared" si="43"/>
        <v>1</v>
      </c>
      <c r="F561" s="5" t="str">
        <f t="shared" si="31"/>
        <v>1</v>
      </c>
      <c r="G561" s="6"/>
      <c r="H561" s="6"/>
    </row>
    <row r="562" spans="1:8" x14ac:dyDescent="0.35">
      <c r="A562" s="7"/>
      <c r="B562" s="5"/>
      <c r="C562" s="5"/>
      <c r="D562" s="5"/>
      <c r="E562" s="5">
        <f t="shared" si="43"/>
        <v>1</v>
      </c>
      <c r="F562" s="5" t="str">
        <f t="shared" si="31"/>
        <v>1</v>
      </c>
      <c r="G562" s="6"/>
      <c r="H562" s="6"/>
    </row>
    <row r="563" spans="1:8" x14ac:dyDescent="0.35">
      <c r="A563" s="7"/>
      <c r="B563" s="5"/>
      <c r="C563" s="5"/>
      <c r="D563" s="5"/>
      <c r="E563" s="5">
        <f t="shared" si="43"/>
        <v>1</v>
      </c>
      <c r="F563" s="5" t="str">
        <f t="shared" si="31"/>
        <v>1</v>
      </c>
      <c r="G563" s="6"/>
      <c r="H563" s="6"/>
    </row>
    <row r="564" spans="1:8" x14ac:dyDescent="0.35">
      <c r="A564" s="7"/>
      <c r="B564" s="5"/>
      <c r="C564" s="5"/>
      <c r="D564" s="5"/>
      <c r="E564" s="5">
        <f t="shared" si="43"/>
        <v>1</v>
      </c>
      <c r="F564" s="5" t="str">
        <f t="shared" si="31"/>
        <v>1</v>
      </c>
      <c r="G564" s="6"/>
      <c r="H564" s="6"/>
    </row>
    <row r="565" spans="1:8" x14ac:dyDescent="0.35">
      <c r="A565" s="7"/>
      <c r="B565" s="5"/>
      <c r="C565" s="5"/>
      <c r="D565" s="5"/>
      <c r="E565" s="5">
        <f t="shared" si="43"/>
        <v>1</v>
      </c>
      <c r="F565" s="5" t="str">
        <f t="shared" si="31"/>
        <v>1</v>
      </c>
      <c r="G565" s="6"/>
      <c r="H565" s="6"/>
    </row>
    <row r="566" spans="1:8" x14ac:dyDescent="0.35">
      <c r="A566" s="7"/>
      <c r="B566" s="5"/>
      <c r="C566" s="5"/>
      <c r="D566" s="5"/>
      <c r="E566" s="5">
        <f t="shared" si="43"/>
        <v>1</v>
      </c>
      <c r="F566" s="5" t="str">
        <f t="shared" si="31"/>
        <v>1</v>
      </c>
      <c r="G566" s="6"/>
      <c r="H566" s="6"/>
    </row>
    <row r="567" spans="1:8" x14ac:dyDescent="0.35">
      <c r="A567" s="7"/>
      <c r="B567" s="5"/>
      <c r="C567" s="5"/>
      <c r="D567" s="5"/>
      <c r="E567" s="5">
        <f t="shared" si="43"/>
        <v>1</v>
      </c>
      <c r="F567" s="5" t="str">
        <f t="shared" si="31"/>
        <v>1</v>
      </c>
      <c r="G567" s="6"/>
      <c r="H567" s="6"/>
    </row>
    <row r="568" spans="1:8" x14ac:dyDescent="0.35">
      <c r="A568" s="7"/>
      <c r="B568" s="5"/>
      <c r="C568" s="5"/>
      <c r="D568" s="5"/>
      <c r="E568" s="5">
        <f t="shared" si="43"/>
        <v>1</v>
      </c>
      <c r="F568" s="5" t="str">
        <f t="shared" si="31"/>
        <v>1</v>
      </c>
      <c r="G568" s="6"/>
      <c r="H568" s="6"/>
    </row>
    <row r="569" spans="1:8" x14ac:dyDescent="0.35">
      <c r="A569" s="7"/>
      <c r="B569" s="5"/>
      <c r="C569" s="5"/>
      <c r="D569" s="5"/>
      <c r="E569" s="5">
        <f t="shared" si="43"/>
        <v>1</v>
      </c>
      <c r="F569" s="5" t="str">
        <f t="shared" si="31"/>
        <v>1</v>
      </c>
      <c r="G569" s="6"/>
      <c r="H569" s="6"/>
    </row>
    <row r="570" spans="1:8" x14ac:dyDescent="0.35">
      <c r="A570" s="7"/>
      <c r="B570" s="5"/>
      <c r="C570" s="5"/>
      <c r="D570" s="5"/>
      <c r="E570" s="5">
        <f t="shared" si="43"/>
        <v>1</v>
      </c>
      <c r="F570" s="5" t="str">
        <f t="shared" si="31"/>
        <v>1</v>
      </c>
      <c r="G570" s="6"/>
      <c r="H570" s="6"/>
    </row>
    <row r="571" spans="1:8" x14ac:dyDescent="0.35">
      <c r="A571" s="7"/>
      <c r="B571" s="5"/>
      <c r="C571" s="5"/>
      <c r="D571" s="5"/>
      <c r="E571" s="5">
        <f t="shared" si="43"/>
        <v>1</v>
      </c>
      <c r="F571" s="5" t="str">
        <f t="shared" si="31"/>
        <v>1</v>
      </c>
      <c r="G571" s="6"/>
      <c r="H571" s="6"/>
    </row>
    <row r="572" spans="1:8" x14ac:dyDescent="0.35">
      <c r="A572" s="7"/>
      <c r="B572" s="5"/>
      <c r="C572" s="5"/>
      <c r="D572" s="5"/>
      <c r="E572" s="5">
        <f t="shared" si="43"/>
        <v>1</v>
      </c>
      <c r="F572" s="5" t="str">
        <f t="shared" si="31"/>
        <v>1</v>
      </c>
      <c r="G572" s="6"/>
      <c r="H572" s="6"/>
    </row>
    <row r="573" spans="1:8" x14ac:dyDescent="0.35">
      <c r="A573" s="7"/>
      <c r="B573" s="5"/>
      <c r="C573" s="5"/>
      <c r="D573" s="5"/>
      <c r="E573" s="5">
        <f t="shared" si="43"/>
        <v>1</v>
      </c>
      <c r="F573" s="5" t="str">
        <f t="shared" si="31"/>
        <v>1</v>
      </c>
      <c r="G573" s="6"/>
      <c r="H573" s="6"/>
    </row>
    <row r="574" spans="1:8" x14ac:dyDescent="0.35">
      <c r="A574" s="7"/>
      <c r="B574" s="5"/>
      <c r="C574" s="5"/>
      <c r="D574" s="5"/>
      <c r="E574" s="5">
        <f t="shared" si="43"/>
        <v>1</v>
      </c>
      <c r="F574" s="5" t="str">
        <f t="shared" si="31"/>
        <v>1</v>
      </c>
      <c r="G574" s="6"/>
      <c r="H574" s="6"/>
    </row>
    <row r="575" spans="1:8" x14ac:dyDescent="0.35">
      <c r="A575" s="7"/>
      <c r="B575" s="5"/>
      <c r="C575" s="5"/>
      <c r="D575" s="5"/>
      <c r="E575" s="5">
        <f t="shared" si="43"/>
        <v>1</v>
      </c>
      <c r="F575" s="5" t="str">
        <f t="shared" si="31"/>
        <v>1</v>
      </c>
      <c r="G575" s="6"/>
      <c r="H575" s="6"/>
    </row>
    <row r="576" spans="1:8" x14ac:dyDescent="0.35">
      <c r="A576" s="7"/>
      <c r="B576" s="5"/>
      <c r="C576" s="5"/>
      <c r="D576" s="5"/>
      <c r="E576" s="5">
        <f t="shared" si="43"/>
        <v>1</v>
      </c>
      <c r="F576" s="5" t="str">
        <f t="shared" si="31"/>
        <v>1</v>
      </c>
      <c r="G576" s="6"/>
      <c r="H576" s="6"/>
    </row>
    <row r="577" spans="1:8" x14ac:dyDescent="0.35">
      <c r="A577" s="7"/>
      <c r="B577" s="5"/>
      <c r="C577" s="5"/>
      <c r="D577" s="5"/>
      <c r="E577" s="5">
        <f t="shared" si="43"/>
        <v>1</v>
      </c>
      <c r="F577" s="5" t="str">
        <f t="shared" si="31"/>
        <v>1</v>
      </c>
      <c r="G577" s="6"/>
      <c r="H577" s="6"/>
    </row>
    <row r="578" spans="1:8" x14ac:dyDescent="0.35">
      <c r="A578" s="7"/>
      <c r="B578" s="5"/>
      <c r="C578" s="5"/>
      <c r="D578" s="5"/>
      <c r="E578" s="5">
        <f t="shared" si="43"/>
        <v>1</v>
      </c>
      <c r="F578" s="5" t="str">
        <f t="shared" si="31"/>
        <v>1</v>
      </c>
      <c r="G578" s="6"/>
      <c r="H578" s="6"/>
    </row>
    <row r="579" spans="1:8" x14ac:dyDescent="0.35">
      <c r="A579" s="7"/>
      <c r="B579" s="5"/>
      <c r="C579" s="5"/>
      <c r="D579" s="5"/>
      <c r="E579" s="5">
        <f t="shared" si="43"/>
        <v>1</v>
      </c>
      <c r="F579" s="5" t="str">
        <f t="shared" si="31"/>
        <v>1</v>
      </c>
      <c r="G579" s="6"/>
      <c r="H579" s="6"/>
    </row>
    <row r="580" spans="1:8" x14ac:dyDescent="0.35">
      <c r="A580" s="7"/>
      <c r="B580" s="5"/>
      <c r="C580" s="5"/>
      <c r="D580" s="5"/>
      <c r="E580" s="5">
        <f t="shared" si="43"/>
        <v>1</v>
      </c>
      <c r="F580" s="5" t="str">
        <f t="shared" si="31"/>
        <v>1</v>
      </c>
      <c r="G580" s="6"/>
      <c r="H580" s="6"/>
    </row>
    <row r="581" spans="1:8" x14ac:dyDescent="0.35">
      <c r="A581" s="7"/>
      <c r="B581" s="5"/>
      <c r="C581" s="5"/>
      <c r="D581" s="5"/>
      <c r="E581" s="5">
        <f t="shared" si="43"/>
        <v>1</v>
      </c>
      <c r="F581" s="5" t="str">
        <f t="shared" si="31"/>
        <v>1</v>
      </c>
      <c r="G581" s="6"/>
      <c r="H581" s="6"/>
    </row>
    <row r="582" spans="1:8" x14ac:dyDescent="0.35">
      <c r="A582" s="7"/>
      <c r="B582" s="5"/>
      <c r="C582" s="5"/>
      <c r="D582" s="5"/>
      <c r="E582" s="5">
        <f t="shared" si="43"/>
        <v>1</v>
      </c>
      <c r="F582" s="5" t="str">
        <f t="shared" si="31"/>
        <v>1</v>
      </c>
      <c r="G582" s="6"/>
      <c r="H582" s="6"/>
    </row>
    <row r="583" spans="1:8" x14ac:dyDescent="0.35">
      <c r="A583" s="7"/>
      <c r="B583" s="5"/>
      <c r="C583" s="5"/>
      <c r="D583" s="5"/>
      <c r="E583" s="5">
        <f t="shared" si="43"/>
        <v>1</v>
      </c>
      <c r="F583" s="5" t="str">
        <f t="shared" si="31"/>
        <v>1</v>
      </c>
      <c r="G583" s="6"/>
      <c r="H583" s="6"/>
    </row>
    <row r="584" spans="1:8" x14ac:dyDescent="0.35">
      <c r="A584" s="7"/>
      <c r="B584" s="5"/>
      <c r="C584" s="5"/>
      <c r="D584" s="5"/>
      <c r="E584" s="5">
        <f t="shared" si="43"/>
        <v>1</v>
      </c>
      <c r="F584" s="5" t="str">
        <f t="shared" si="31"/>
        <v>1</v>
      </c>
      <c r="G584" s="6"/>
      <c r="H584" s="6"/>
    </row>
    <row r="585" spans="1:8" x14ac:dyDescent="0.35">
      <c r="A585" s="7"/>
      <c r="B585" s="5"/>
      <c r="C585" s="5"/>
      <c r="D585" s="5"/>
      <c r="E585" s="5">
        <f t="shared" si="43"/>
        <v>1</v>
      </c>
      <c r="F585" s="5" t="str">
        <f t="shared" si="31"/>
        <v>1</v>
      </c>
      <c r="G585" s="6"/>
      <c r="H585" s="6"/>
    </row>
    <row r="586" spans="1:8" x14ac:dyDescent="0.35">
      <c r="A586" s="7"/>
      <c r="B586" s="5"/>
      <c r="C586" s="5"/>
      <c r="D586" s="5"/>
      <c r="E586" s="5">
        <f t="shared" si="43"/>
        <v>1</v>
      </c>
      <c r="F586" s="5" t="str">
        <f t="shared" si="31"/>
        <v>1</v>
      </c>
      <c r="G586" s="6"/>
      <c r="H586" s="6"/>
    </row>
    <row r="587" spans="1:8" x14ac:dyDescent="0.35">
      <c r="A587" s="7"/>
      <c r="B587" s="5"/>
      <c r="C587" s="5"/>
      <c r="D587" s="5"/>
      <c r="E587" s="5">
        <f t="shared" si="43"/>
        <v>1</v>
      </c>
      <c r="F587" s="5" t="str">
        <f t="shared" si="31"/>
        <v>1</v>
      </c>
      <c r="G587" s="6"/>
      <c r="H587" s="6"/>
    </row>
    <row r="588" spans="1:8" x14ac:dyDescent="0.35">
      <c r="A588" s="7"/>
      <c r="B588" s="5"/>
      <c r="C588" s="5"/>
      <c r="D588" s="5"/>
      <c r="E588" s="5">
        <f t="shared" si="43"/>
        <v>1</v>
      </c>
      <c r="F588" s="5" t="str">
        <f t="shared" si="31"/>
        <v>1</v>
      </c>
      <c r="G588" s="6"/>
      <c r="H588" s="6"/>
    </row>
    <row r="589" spans="1:8" x14ac:dyDescent="0.35">
      <c r="A589" s="7"/>
      <c r="B589" s="5"/>
      <c r="C589" s="5"/>
      <c r="D589" s="5"/>
      <c r="E589" s="5">
        <f t="shared" si="43"/>
        <v>1</v>
      </c>
      <c r="F589" s="5" t="str">
        <f t="shared" si="31"/>
        <v>1</v>
      </c>
      <c r="G589" s="6"/>
      <c r="H589" s="6"/>
    </row>
    <row r="590" spans="1:8" x14ac:dyDescent="0.35">
      <c r="A590" s="7"/>
      <c r="B590" s="5"/>
      <c r="C590" s="5"/>
      <c r="D590" s="5"/>
      <c r="E590" s="5">
        <f t="shared" si="43"/>
        <v>1</v>
      </c>
      <c r="F590" s="5" t="str">
        <f t="shared" si="31"/>
        <v>1</v>
      </c>
      <c r="G590" s="6"/>
      <c r="H590" s="6"/>
    </row>
    <row r="591" spans="1:8" x14ac:dyDescent="0.35">
      <c r="A591" s="7"/>
      <c r="B591" s="5"/>
      <c r="C591" s="5"/>
      <c r="D591" s="5"/>
      <c r="E591" s="5">
        <f t="shared" si="43"/>
        <v>1</v>
      </c>
      <c r="F591" s="5" t="str">
        <f t="shared" si="31"/>
        <v>1</v>
      </c>
      <c r="G591" s="6"/>
      <c r="H591" s="6"/>
    </row>
    <row r="592" spans="1:8" x14ac:dyDescent="0.35">
      <c r="A592" s="7"/>
      <c r="B592" s="5"/>
      <c r="C592" s="5"/>
      <c r="D592" s="5"/>
      <c r="E592" s="5">
        <f t="shared" si="43"/>
        <v>1</v>
      </c>
      <c r="F592" s="5" t="str">
        <f t="shared" si="31"/>
        <v>1</v>
      </c>
      <c r="G592" s="6"/>
      <c r="H592" s="6"/>
    </row>
    <row r="593" spans="1:8" x14ac:dyDescent="0.35">
      <c r="A593" s="7"/>
      <c r="B593" s="5"/>
      <c r="C593" s="5"/>
      <c r="D593" s="5"/>
      <c r="E593" s="5">
        <f t="shared" si="43"/>
        <v>1</v>
      </c>
      <c r="F593" s="5" t="str">
        <f t="shared" si="31"/>
        <v>1</v>
      </c>
      <c r="G593" s="6"/>
      <c r="H593" s="6"/>
    </row>
    <row r="594" spans="1:8" x14ac:dyDescent="0.35">
      <c r="A594" s="7"/>
      <c r="B594" s="5"/>
      <c r="C594" s="5"/>
      <c r="D594" s="5"/>
      <c r="E594" s="5">
        <f t="shared" si="43"/>
        <v>1</v>
      </c>
      <c r="F594" s="5" t="str">
        <f t="shared" si="31"/>
        <v>1</v>
      </c>
      <c r="G594" s="6"/>
      <c r="H594" s="6"/>
    </row>
    <row r="595" spans="1:8" x14ac:dyDescent="0.35">
      <c r="A595" s="7"/>
      <c r="B595" s="5"/>
      <c r="C595" s="5"/>
      <c r="D595" s="5"/>
      <c r="E595" s="5">
        <f t="shared" si="43"/>
        <v>1</v>
      </c>
      <c r="F595" s="5" t="str">
        <f t="shared" si="31"/>
        <v>1</v>
      </c>
      <c r="G595" s="6"/>
      <c r="H595" s="6"/>
    </row>
    <row r="596" spans="1:8" x14ac:dyDescent="0.35">
      <c r="A596" s="7"/>
      <c r="B596" s="5"/>
      <c r="C596" s="5"/>
      <c r="D596" s="5"/>
      <c r="E596" s="5">
        <f t="shared" si="43"/>
        <v>1</v>
      </c>
      <c r="F596" s="5" t="str">
        <f t="shared" si="31"/>
        <v>1</v>
      </c>
      <c r="G596" s="6"/>
      <c r="H596" s="6"/>
    </row>
    <row r="597" spans="1:8" x14ac:dyDescent="0.35">
      <c r="A597" s="7"/>
      <c r="B597" s="5"/>
      <c r="C597" s="5"/>
      <c r="D597" s="5"/>
      <c r="E597" s="5">
        <f t="shared" si="43"/>
        <v>1</v>
      </c>
      <c r="F597" s="5" t="str">
        <f t="shared" si="31"/>
        <v>1</v>
      </c>
      <c r="G597" s="6"/>
      <c r="H597" s="6"/>
    </row>
    <row r="598" spans="1:8" x14ac:dyDescent="0.35">
      <c r="A598" s="7"/>
      <c r="B598" s="5"/>
      <c r="C598" s="5"/>
      <c r="D598" s="5"/>
      <c r="E598" s="5">
        <f t="shared" si="43"/>
        <v>1</v>
      </c>
      <c r="F598" s="5" t="str">
        <f t="shared" si="31"/>
        <v>1</v>
      </c>
      <c r="G598" s="6"/>
      <c r="H598" s="6"/>
    </row>
    <row r="599" spans="1:8" x14ac:dyDescent="0.35">
      <c r="A599" s="7"/>
      <c r="B599" s="5"/>
      <c r="C599" s="5"/>
      <c r="D599" s="5"/>
      <c r="E599" s="5">
        <f t="shared" si="43"/>
        <v>1</v>
      </c>
      <c r="F599" s="5" t="str">
        <f t="shared" si="31"/>
        <v>1</v>
      </c>
      <c r="G599" s="6"/>
      <c r="H599" s="6"/>
    </row>
    <row r="600" spans="1:8" x14ac:dyDescent="0.35">
      <c r="A600" s="7"/>
      <c r="B600" s="5"/>
      <c r="C600" s="5"/>
      <c r="D600" s="5"/>
      <c r="E600" s="5">
        <f t="shared" si="43"/>
        <v>1</v>
      </c>
      <c r="F600" s="5" t="str">
        <f t="shared" si="31"/>
        <v>1</v>
      </c>
      <c r="G600" s="6"/>
      <c r="H600" s="6"/>
    </row>
    <row r="601" spans="1:8" x14ac:dyDescent="0.35">
      <c r="A601" s="7"/>
      <c r="B601" s="5"/>
      <c r="C601" s="5"/>
      <c r="D601" s="5"/>
      <c r="E601" s="5">
        <f t="shared" si="43"/>
        <v>1</v>
      </c>
      <c r="F601" s="5" t="str">
        <f t="shared" si="31"/>
        <v>1</v>
      </c>
      <c r="G601" s="6"/>
      <c r="H601" s="6"/>
    </row>
    <row r="602" spans="1:8" x14ac:dyDescent="0.35">
      <c r="A602" s="7"/>
      <c r="B602" s="5"/>
      <c r="C602" s="5"/>
      <c r="D602" s="5"/>
      <c r="E602" s="5">
        <f t="shared" si="43"/>
        <v>1</v>
      </c>
      <c r="F602" s="5" t="str">
        <f t="shared" si="31"/>
        <v>1</v>
      </c>
      <c r="G602" s="6"/>
      <c r="H602" s="6"/>
    </row>
    <row r="603" spans="1:8" x14ac:dyDescent="0.35">
      <c r="A603" s="7"/>
      <c r="B603" s="5"/>
      <c r="C603" s="5"/>
      <c r="D603" s="5"/>
      <c r="E603" s="5">
        <f t="shared" si="43"/>
        <v>1</v>
      </c>
      <c r="F603" s="5" t="str">
        <f t="shared" si="31"/>
        <v>1</v>
      </c>
      <c r="G603" s="6"/>
      <c r="H603" s="6"/>
    </row>
    <row r="604" spans="1:8" x14ac:dyDescent="0.35">
      <c r="A604" s="7"/>
      <c r="B604" s="5"/>
      <c r="C604" s="5"/>
      <c r="D604" s="5"/>
      <c r="E604" s="5">
        <f t="shared" si="43"/>
        <v>1</v>
      </c>
      <c r="F604" s="5" t="str">
        <f t="shared" si="31"/>
        <v>1</v>
      </c>
      <c r="G604" s="6"/>
      <c r="H604" s="6"/>
    </row>
    <row r="605" spans="1:8" x14ac:dyDescent="0.35">
      <c r="A605" s="7"/>
      <c r="B605" s="5"/>
      <c r="C605" s="5"/>
      <c r="D605" s="5"/>
      <c r="E605" s="5">
        <f t="shared" si="43"/>
        <v>1</v>
      </c>
      <c r="F605" s="5" t="str">
        <f t="shared" si="31"/>
        <v>1</v>
      </c>
      <c r="G605" s="6"/>
      <c r="H605" s="6"/>
    </row>
    <row r="606" spans="1:8" x14ac:dyDescent="0.35">
      <c r="A606" s="7"/>
      <c r="B606" s="5"/>
      <c r="C606" s="5"/>
      <c r="D606" s="5"/>
      <c r="E606" s="5">
        <f t="shared" si="43"/>
        <v>1</v>
      </c>
      <c r="F606" s="5" t="str">
        <f t="shared" si="31"/>
        <v>1</v>
      </c>
      <c r="G606" s="6"/>
      <c r="H606" s="6"/>
    </row>
    <row r="607" spans="1:8" x14ac:dyDescent="0.35">
      <c r="A607" s="7"/>
      <c r="B607" s="5"/>
      <c r="C607" s="5"/>
      <c r="D607" s="5"/>
      <c r="E607" s="5">
        <f t="shared" si="43"/>
        <v>1</v>
      </c>
      <c r="F607" s="5" t="str">
        <f t="shared" si="31"/>
        <v>1</v>
      </c>
      <c r="G607" s="6"/>
      <c r="H607" s="6"/>
    </row>
    <row r="608" spans="1:8" x14ac:dyDescent="0.35">
      <c r="A608" s="7"/>
      <c r="B608" s="5"/>
      <c r="C608" s="5"/>
      <c r="D608" s="5"/>
      <c r="E608" s="5">
        <f t="shared" si="43"/>
        <v>1</v>
      </c>
      <c r="F608" s="5" t="str">
        <f t="shared" si="31"/>
        <v>1</v>
      </c>
      <c r="G608" s="6"/>
      <c r="H608" s="6"/>
    </row>
    <row r="609" spans="1:8" x14ac:dyDescent="0.35">
      <c r="A609" s="7"/>
      <c r="B609" s="5"/>
      <c r="C609" s="5"/>
      <c r="D609" s="5"/>
      <c r="E609" s="5">
        <f t="shared" si="43"/>
        <v>1</v>
      </c>
      <c r="F609" s="5" t="str">
        <f t="shared" si="31"/>
        <v>1</v>
      </c>
      <c r="G609" s="6"/>
      <c r="H609" s="6"/>
    </row>
    <row r="610" spans="1:8" x14ac:dyDescent="0.35">
      <c r="A610" s="7"/>
      <c r="B610" s="5"/>
      <c r="C610" s="5"/>
      <c r="D610" s="5"/>
      <c r="E610" s="5">
        <f t="shared" si="43"/>
        <v>1</v>
      </c>
      <c r="F610" s="5" t="str">
        <f t="shared" si="31"/>
        <v>1</v>
      </c>
      <c r="G610" s="6"/>
      <c r="H610" s="6"/>
    </row>
    <row r="611" spans="1:8" x14ac:dyDescent="0.35">
      <c r="A611" s="7"/>
      <c r="B611" s="5"/>
      <c r="C611" s="5"/>
      <c r="D611" s="5"/>
      <c r="E611" s="5">
        <f t="shared" ref="E611:E658" si="44">MONTH(A611)</f>
        <v>1</v>
      </c>
      <c r="F611" s="5" t="str">
        <f t="shared" si="31"/>
        <v>1</v>
      </c>
      <c r="G611" s="6"/>
      <c r="H611" s="6"/>
    </row>
    <row r="612" spans="1:8" x14ac:dyDescent="0.35">
      <c r="A612" s="7"/>
      <c r="B612" s="5"/>
      <c r="C612" s="5"/>
      <c r="D612" s="5"/>
      <c r="E612" s="5">
        <f t="shared" si="44"/>
        <v>1</v>
      </c>
      <c r="F612" s="5" t="str">
        <f t="shared" si="31"/>
        <v>1</v>
      </c>
      <c r="G612" s="6"/>
      <c r="H612" s="6"/>
    </row>
    <row r="613" spans="1:8" x14ac:dyDescent="0.35">
      <c r="A613" s="7"/>
      <c r="B613" s="5"/>
      <c r="C613" s="5"/>
      <c r="D613" s="5"/>
      <c r="E613" s="5">
        <f t="shared" si="44"/>
        <v>1</v>
      </c>
      <c r="F613" s="5" t="str">
        <f t="shared" si="31"/>
        <v>1</v>
      </c>
      <c r="G613" s="6"/>
      <c r="H613" s="6"/>
    </row>
    <row r="614" spans="1:8" x14ac:dyDescent="0.35">
      <c r="A614" s="7"/>
      <c r="B614" s="5"/>
      <c r="C614" s="5"/>
      <c r="D614" s="5"/>
      <c r="E614" s="5">
        <f t="shared" si="44"/>
        <v>1</v>
      </c>
      <c r="F614" s="5" t="str">
        <f t="shared" si="31"/>
        <v>1</v>
      </c>
      <c r="G614" s="6"/>
      <c r="H614" s="6"/>
    </row>
    <row r="615" spans="1:8" x14ac:dyDescent="0.35">
      <c r="A615" s="7"/>
      <c r="B615" s="5"/>
      <c r="C615" s="5"/>
      <c r="D615" s="5"/>
      <c r="E615" s="5">
        <f t="shared" si="44"/>
        <v>1</v>
      </c>
      <c r="F615" s="5" t="str">
        <f t="shared" si="31"/>
        <v>1</v>
      </c>
      <c r="G615" s="6"/>
      <c r="H615" s="6"/>
    </row>
    <row r="616" spans="1:8" x14ac:dyDescent="0.35">
      <c r="A616" s="7"/>
      <c r="B616" s="5"/>
      <c r="C616" s="5"/>
      <c r="D616" s="5"/>
      <c r="E616" s="5">
        <f t="shared" si="44"/>
        <v>1</v>
      </c>
      <c r="F616" s="5" t="str">
        <f t="shared" si="31"/>
        <v>1</v>
      </c>
      <c r="G616" s="6"/>
      <c r="H616" s="6"/>
    </row>
    <row r="617" spans="1:8" x14ac:dyDescent="0.35">
      <c r="A617" s="7"/>
      <c r="B617" s="5"/>
      <c r="C617" s="5"/>
      <c r="D617" s="5"/>
      <c r="E617" s="5">
        <f t="shared" si="44"/>
        <v>1</v>
      </c>
      <c r="F617" s="5" t="str">
        <f t="shared" si="31"/>
        <v>1</v>
      </c>
      <c r="G617" s="6"/>
      <c r="H617" s="6"/>
    </row>
    <row r="618" spans="1:8" x14ac:dyDescent="0.35">
      <c r="A618" s="7"/>
      <c r="B618" s="5"/>
      <c r="C618" s="5"/>
      <c r="D618" s="5"/>
      <c r="E618" s="5">
        <f t="shared" si="44"/>
        <v>1</v>
      </c>
      <c r="F618" s="5" t="str">
        <f t="shared" si="31"/>
        <v>1</v>
      </c>
      <c r="G618" s="6"/>
      <c r="H618" s="6"/>
    </row>
    <row r="619" spans="1:8" x14ac:dyDescent="0.35">
      <c r="A619" s="7"/>
      <c r="B619" s="5"/>
      <c r="C619" s="5"/>
      <c r="D619" s="5"/>
      <c r="E619" s="5">
        <f t="shared" si="44"/>
        <v>1</v>
      </c>
      <c r="F619" s="5" t="str">
        <f t="shared" si="31"/>
        <v>1</v>
      </c>
      <c r="G619" s="6"/>
      <c r="H619" s="6"/>
    </row>
    <row r="620" spans="1:8" x14ac:dyDescent="0.35">
      <c r="A620" s="7"/>
      <c r="B620" s="5"/>
      <c r="C620" s="5"/>
      <c r="D620" s="5"/>
      <c r="E620" s="5">
        <f t="shared" si="44"/>
        <v>1</v>
      </c>
      <c r="F620" s="5" t="str">
        <f t="shared" si="31"/>
        <v>1</v>
      </c>
      <c r="G620" s="6"/>
      <c r="H620" s="6"/>
    </row>
    <row r="621" spans="1:8" x14ac:dyDescent="0.35">
      <c r="A621" s="7"/>
      <c r="B621" s="5"/>
      <c r="C621" s="5"/>
      <c r="D621" s="5"/>
      <c r="E621" s="5">
        <f t="shared" si="44"/>
        <v>1</v>
      </c>
      <c r="F621" s="5" t="str">
        <f t="shared" si="31"/>
        <v>1</v>
      </c>
      <c r="G621" s="6"/>
      <c r="H621" s="6"/>
    </row>
    <row r="622" spans="1:8" x14ac:dyDescent="0.35">
      <c r="A622" s="7"/>
      <c r="B622" s="5"/>
      <c r="C622" s="5"/>
      <c r="D622" s="5"/>
      <c r="E622" s="5">
        <f t="shared" si="44"/>
        <v>1</v>
      </c>
      <c r="F622" s="5" t="str">
        <f t="shared" si="31"/>
        <v>1</v>
      </c>
      <c r="G622" s="6"/>
      <c r="H622" s="6"/>
    </row>
    <row r="623" spans="1:8" x14ac:dyDescent="0.35">
      <c r="A623" s="7"/>
      <c r="B623" s="5"/>
      <c r="C623" s="5"/>
      <c r="D623" s="5"/>
      <c r="E623" s="5">
        <f t="shared" si="44"/>
        <v>1</v>
      </c>
      <c r="F623" s="5" t="str">
        <f t="shared" si="31"/>
        <v>1</v>
      </c>
      <c r="G623" s="6"/>
      <c r="H623" s="6"/>
    </row>
    <row r="624" spans="1:8" x14ac:dyDescent="0.35">
      <c r="A624" s="7"/>
      <c r="B624" s="5"/>
      <c r="C624" s="5"/>
      <c r="D624" s="5"/>
      <c r="E624" s="5">
        <f t="shared" si="44"/>
        <v>1</v>
      </c>
      <c r="F624" s="5" t="str">
        <f t="shared" si="31"/>
        <v>1</v>
      </c>
      <c r="G624" s="6"/>
      <c r="H624" s="6"/>
    </row>
    <row r="625" spans="1:8" x14ac:dyDescent="0.35">
      <c r="A625" s="7"/>
      <c r="B625" s="5"/>
      <c r="C625" s="5"/>
      <c r="D625" s="5"/>
      <c r="E625" s="5">
        <f t="shared" si="44"/>
        <v>1</v>
      </c>
      <c r="F625" s="5" t="str">
        <f t="shared" si="31"/>
        <v>1</v>
      </c>
      <c r="G625" s="6"/>
      <c r="H625" s="6"/>
    </row>
    <row r="626" spans="1:8" x14ac:dyDescent="0.35">
      <c r="A626" s="7"/>
      <c r="B626" s="5"/>
      <c r="C626" s="5"/>
      <c r="D626" s="5"/>
      <c r="E626" s="5">
        <f t="shared" si="44"/>
        <v>1</v>
      </c>
      <c r="F626" s="5" t="str">
        <f t="shared" si="31"/>
        <v>1</v>
      </c>
      <c r="G626" s="6"/>
      <c r="H626" s="6"/>
    </row>
    <row r="627" spans="1:8" x14ac:dyDescent="0.35">
      <c r="A627" s="7"/>
      <c r="B627" s="5"/>
      <c r="C627" s="5"/>
      <c r="D627" s="5"/>
      <c r="E627" s="5">
        <f t="shared" si="44"/>
        <v>1</v>
      </c>
      <c r="F627" s="5" t="str">
        <f t="shared" si="31"/>
        <v>1</v>
      </c>
      <c r="G627" s="6"/>
      <c r="H627" s="6"/>
    </row>
    <row r="628" spans="1:8" x14ac:dyDescent="0.35">
      <c r="A628" s="7"/>
      <c r="B628" s="5"/>
      <c r="C628" s="5"/>
      <c r="D628" s="5"/>
      <c r="E628" s="5">
        <f t="shared" si="44"/>
        <v>1</v>
      </c>
      <c r="F628" s="5" t="str">
        <f t="shared" si="31"/>
        <v>1</v>
      </c>
      <c r="G628" s="6"/>
      <c r="H628" s="6"/>
    </row>
    <row r="629" spans="1:8" x14ac:dyDescent="0.35">
      <c r="A629" s="7"/>
      <c r="B629" s="5"/>
      <c r="C629" s="5"/>
      <c r="D629" s="5"/>
      <c r="E629" s="5">
        <f t="shared" si="44"/>
        <v>1</v>
      </c>
      <c r="F629" s="5" t="str">
        <f t="shared" si="31"/>
        <v>1</v>
      </c>
      <c r="G629" s="6"/>
      <c r="H629" s="6"/>
    </row>
    <row r="630" spans="1:8" x14ac:dyDescent="0.35">
      <c r="A630" s="7"/>
      <c r="B630" s="5"/>
      <c r="C630" s="5"/>
      <c r="D630" s="5"/>
      <c r="E630" s="5">
        <f t="shared" si="44"/>
        <v>1</v>
      </c>
      <c r="F630" s="5" t="str">
        <f t="shared" si="31"/>
        <v>1</v>
      </c>
      <c r="G630" s="6"/>
      <c r="H630" s="6"/>
    </row>
    <row r="631" spans="1:8" x14ac:dyDescent="0.35">
      <c r="A631" s="7"/>
      <c r="B631" s="5"/>
      <c r="C631" s="5"/>
      <c r="D631" s="5"/>
      <c r="E631" s="5">
        <f t="shared" si="44"/>
        <v>1</v>
      </c>
      <c r="F631" s="5" t="str">
        <f t="shared" si="31"/>
        <v>1</v>
      </c>
      <c r="G631" s="6"/>
      <c r="H631" s="6"/>
    </row>
    <row r="632" spans="1:8" x14ac:dyDescent="0.35">
      <c r="A632" s="7"/>
      <c r="B632" s="5"/>
      <c r="C632" s="5"/>
      <c r="D632" s="5"/>
      <c r="E632" s="5">
        <f t="shared" si="44"/>
        <v>1</v>
      </c>
      <c r="F632" s="5" t="str">
        <f t="shared" si="31"/>
        <v>1</v>
      </c>
      <c r="G632" s="6"/>
      <c r="H632" s="6"/>
    </row>
    <row r="633" spans="1:8" x14ac:dyDescent="0.35">
      <c r="A633" s="7"/>
      <c r="B633" s="5"/>
      <c r="C633" s="5"/>
      <c r="D633" s="5"/>
      <c r="E633" s="5">
        <f t="shared" si="44"/>
        <v>1</v>
      </c>
      <c r="F633" s="5" t="str">
        <f t="shared" si="31"/>
        <v>1</v>
      </c>
      <c r="G633" s="6"/>
      <c r="H633" s="6"/>
    </row>
    <row r="634" spans="1:8" x14ac:dyDescent="0.35">
      <c r="A634" s="7"/>
      <c r="B634" s="5"/>
      <c r="C634" s="5"/>
      <c r="D634" s="5"/>
      <c r="E634" s="5">
        <f t="shared" si="44"/>
        <v>1</v>
      </c>
      <c r="F634" s="5" t="str">
        <f t="shared" si="31"/>
        <v>1</v>
      </c>
      <c r="G634" s="6"/>
      <c r="H634" s="6"/>
    </row>
    <row r="635" spans="1:8" x14ac:dyDescent="0.35">
      <c r="A635" s="7"/>
      <c r="B635" s="5"/>
      <c r="C635" s="5"/>
      <c r="D635" s="5"/>
      <c r="E635" s="5">
        <f t="shared" si="44"/>
        <v>1</v>
      </c>
      <c r="F635" s="5" t="str">
        <f t="shared" si="31"/>
        <v>1</v>
      </c>
      <c r="G635" s="6"/>
      <c r="H635" s="6"/>
    </row>
    <row r="636" spans="1:8" x14ac:dyDescent="0.35">
      <c r="A636" s="7"/>
      <c r="B636" s="5"/>
      <c r="C636" s="5"/>
      <c r="D636" s="5"/>
      <c r="E636" s="5">
        <f t="shared" si="44"/>
        <v>1</v>
      </c>
      <c r="F636" s="5" t="str">
        <f t="shared" si="31"/>
        <v>1</v>
      </c>
      <c r="G636" s="6"/>
      <c r="H636" s="6"/>
    </row>
    <row r="637" spans="1:8" x14ac:dyDescent="0.35">
      <c r="A637" s="7"/>
      <c r="B637" s="5"/>
      <c r="C637" s="5"/>
      <c r="D637" s="5"/>
      <c r="E637" s="5">
        <f t="shared" si="44"/>
        <v>1</v>
      </c>
      <c r="F637" s="5" t="str">
        <f t="shared" si="31"/>
        <v>1</v>
      </c>
      <c r="G637" s="6"/>
      <c r="H637" s="6"/>
    </row>
    <row r="638" spans="1:8" x14ac:dyDescent="0.35">
      <c r="A638" s="7"/>
      <c r="B638" s="5"/>
      <c r="C638" s="5"/>
      <c r="D638" s="5"/>
      <c r="E638" s="5">
        <f t="shared" si="44"/>
        <v>1</v>
      </c>
      <c r="F638" s="5" t="str">
        <f t="shared" si="31"/>
        <v>1</v>
      </c>
      <c r="G638" s="6"/>
      <c r="H638" s="6"/>
    </row>
    <row r="639" spans="1:8" x14ac:dyDescent="0.35">
      <c r="A639" s="7"/>
      <c r="B639" s="5"/>
      <c r="C639" s="5"/>
      <c r="D639" s="5"/>
      <c r="E639" s="5">
        <f t="shared" si="44"/>
        <v>1</v>
      </c>
      <c r="F639" s="5" t="str">
        <f t="shared" si="31"/>
        <v>1</v>
      </c>
      <c r="G639" s="6"/>
      <c r="H639" s="6"/>
    </row>
    <row r="640" spans="1:8" x14ac:dyDescent="0.35">
      <c r="A640" s="7"/>
      <c r="B640" s="5"/>
      <c r="C640" s="5"/>
      <c r="D640" s="5"/>
      <c r="E640" s="5">
        <f t="shared" si="44"/>
        <v>1</v>
      </c>
      <c r="F640" s="5" t="str">
        <f t="shared" si="31"/>
        <v>1</v>
      </c>
      <c r="G640" s="6"/>
      <c r="H640" s="6"/>
    </row>
    <row r="641" spans="1:8" x14ac:dyDescent="0.35">
      <c r="A641" s="7"/>
      <c r="B641" s="5"/>
      <c r="C641" s="5"/>
      <c r="D641" s="5"/>
      <c r="E641" s="5">
        <f t="shared" si="44"/>
        <v>1</v>
      </c>
      <c r="F641" s="5" t="str">
        <f t="shared" si="31"/>
        <v>1</v>
      </c>
      <c r="G641" s="6"/>
      <c r="H641" s="6"/>
    </row>
    <row r="642" spans="1:8" x14ac:dyDescent="0.35">
      <c r="A642" s="7"/>
      <c r="B642" s="5"/>
      <c r="C642" s="5"/>
      <c r="D642" s="5"/>
      <c r="E642" s="5">
        <f t="shared" si="44"/>
        <v>1</v>
      </c>
      <c r="F642" s="5" t="str">
        <f t="shared" si="31"/>
        <v>1</v>
      </c>
      <c r="G642" s="6"/>
      <c r="H642" s="6"/>
    </row>
    <row r="643" spans="1:8" x14ac:dyDescent="0.35">
      <c r="A643" s="7"/>
      <c r="B643" s="5"/>
      <c r="C643" s="5"/>
      <c r="D643" s="5"/>
      <c r="E643" s="5">
        <f t="shared" si="44"/>
        <v>1</v>
      </c>
      <c r="F643" s="5" t="str">
        <f t="shared" si="31"/>
        <v>1</v>
      </c>
      <c r="G643" s="6"/>
      <c r="H643" s="6"/>
    </row>
    <row r="644" spans="1:8" x14ac:dyDescent="0.35">
      <c r="A644" s="7"/>
      <c r="B644" s="5"/>
      <c r="C644" s="5"/>
      <c r="D644" s="5"/>
      <c r="E644" s="5">
        <f t="shared" si="44"/>
        <v>1</v>
      </c>
      <c r="F644" s="5" t="str">
        <f t="shared" si="31"/>
        <v>1</v>
      </c>
      <c r="G644" s="6"/>
      <c r="H644" s="6"/>
    </row>
    <row r="645" spans="1:8" x14ac:dyDescent="0.35">
      <c r="A645" s="7"/>
      <c r="B645" s="5"/>
      <c r="C645" s="5"/>
      <c r="D645" s="5"/>
      <c r="E645" s="5">
        <f t="shared" si="44"/>
        <v>1</v>
      </c>
      <c r="F645" s="5" t="str">
        <f t="shared" si="31"/>
        <v>1</v>
      </c>
      <c r="G645" s="6"/>
      <c r="H645" s="6"/>
    </row>
    <row r="646" spans="1:8" x14ac:dyDescent="0.35">
      <c r="A646" s="7"/>
      <c r="B646" s="5"/>
      <c r="C646" s="5"/>
      <c r="D646" s="5"/>
      <c r="E646" s="5">
        <f t="shared" si="44"/>
        <v>1</v>
      </c>
      <c r="F646" s="5" t="str">
        <f t="shared" si="31"/>
        <v>1</v>
      </c>
      <c r="G646" s="6"/>
      <c r="H646" s="6"/>
    </row>
    <row r="647" spans="1:8" x14ac:dyDescent="0.35">
      <c r="A647" s="7"/>
      <c r="B647" s="5"/>
      <c r="C647" s="5"/>
      <c r="D647" s="5"/>
      <c r="E647" s="5">
        <f t="shared" si="44"/>
        <v>1</v>
      </c>
      <c r="F647" s="5" t="str">
        <f t="shared" si="31"/>
        <v>1</v>
      </c>
      <c r="G647" s="6"/>
      <c r="H647" s="6"/>
    </row>
    <row r="648" spans="1:8" x14ac:dyDescent="0.35">
      <c r="A648" s="7"/>
      <c r="B648" s="5"/>
      <c r="C648" s="5"/>
      <c r="D648" s="5"/>
      <c r="E648" s="5">
        <f t="shared" si="44"/>
        <v>1</v>
      </c>
      <c r="F648" s="5" t="str">
        <f t="shared" si="31"/>
        <v>1</v>
      </c>
      <c r="G648" s="6"/>
      <c r="H648" s="6"/>
    </row>
    <row r="649" spans="1:8" x14ac:dyDescent="0.35">
      <c r="A649" s="7"/>
      <c r="B649" s="5"/>
      <c r="C649" s="5"/>
      <c r="D649" s="5"/>
      <c r="E649" s="5">
        <f t="shared" si="44"/>
        <v>1</v>
      </c>
      <c r="F649" s="5" t="str">
        <f t="shared" si="31"/>
        <v>1</v>
      </c>
      <c r="G649" s="6"/>
      <c r="H649" s="6"/>
    </row>
    <row r="650" spans="1:8" x14ac:dyDescent="0.35">
      <c r="A650" s="7"/>
      <c r="B650" s="5"/>
      <c r="C650" s="5"/>
      <c r="D650" s="5"/>
      <c r="E650" s="5">
        <f t="shared" si="44"/>
        <v>1</v>
      </c>
      <c r="F650" s="5" t="str">
        <f t="shared" si="31"/>
        <v>1</v>
      </c>
      <c r="G650" s="6"/>
      <c r="H650" s="6"/>
    </row>
    <row r="651" spans="1:8" x14ac:dyDescent="0.35">
      <c r="A651" s="7"/>
      <c r="B651" s="5"/>
      <c r="C651" s="5"/>
      <c r="D651" s="5"/>
      <c r="E651" s="5">
        <f t="shared" si="44"/>
        <v>1</v>
      </c>
      <c r="F651" s="5" t="str">
        <f t="shared" si="31"/>
        <v>1</v>
      </c>
      <c r="G651" s="6"/>
      <c r="H651" s="6"/>
    </row>
    <row r="652" spans="1:8" x14ac:dyDescent="0.35">
      <c r="A652" s="7"/>
      <c r="B652" s="5"/>
      <c r="C652" s="5"/>
      <c r="D652" s="5"/>
      <c r="E652" s="5">
        <f t="shared" si="44"/>
        <v>1</v>
      </c>
      <c r="F652" s="5" t="str">
        <f t="shared" si="31"/>
        <v>1</v>
      </c>
      <c r="G652" s="6"/>
      <c r="H652" s="6"/>
    </row>
    <row r="653" spans="1:8" x14ac:dyDescent="0.35">
      <c r="A653" s="7"/>
      <c r="B653" s="5"/>
      <c r="C653" s="5"/>
      <c r="D653" s="5"/>
      <c r="E653" s="5">
        <f t="shared" si="44"/>
        <v>1</v>
      </c>
      <c r="F653" s="5" t="str">
        <f t="shared" si="31"/>
        <v>1</v>
      </c>
      <c r="G653" s="6"/>
      <c r="H653" s="6"/>
    </row>
    <row r="654" spans="1:8" x14ac:dyDescent="0.35">
      <c r="A654" s="7"/>
      <c r="B654" s="5"/>
      <c r="C654" s="5"/>
      <c r="D654" s="5"/>
      <c r="E654" s="5">
        <f t="shared" si="44"/>
        <v>1</v>
      </c>
      <c r="F654" s="5" t="str">
        <f t="shared" si="31"/>
        <v>1</v>
      </c>
      <c r="G654" s="6"/>
      <c r="H654" s="6"/>
    </row>
    <row r="655" spans="1:8" x14ac:dyDescent="0.35">
      <c r="A655" s="7"/>
      <c r="B655" s="5"/>
      <c r="C655" s="5"/>
      <c r="D655" s="5"/>
      <c r="E655" s="5">
        <f t="shared" si="44"/>
        <v>1</v>
      </c>
      <c r="F655" s="5" t="str">
        <f t="shared" si="31"/>
        <v>1</v>
      </c>
      <c r="G655" s="6"/>
      <c r="H655" s="6"/>
    </row>
    <row r="656" spans="1:8" x14ac:dyDescent="0.35">
      <c r="A656" s="7"/>
      <c r="B656" s="5"/>
      <c r="C656" s="5"/>
      <c r="D656" s="5"/>
      <c r="E656" s="5">
        <f t="shared" si="44"/>
        <v>1</v>
      </c>
      <c r="F656" s="5" t="str">
        <f t="shared" si="31"/>
        <v>1</v>
      </c>
      <c r="G656" s="6"/>
      <c r="H656" s="6"/>
    </row>
    <row r="657" spans="1:8" x14ac:dyDescent="0.35">
      <c r="A657" s="7"/>
      <c r="B657" s="5"/>
      <c r="C657" s="5"/>
      <c r="D657" s="5"/>
      <c r="E657" s="5">
        <f t="shared" si="44"/>
        <v>1</v>
      </c>
      <c r="F657" s="5" t="str">
        <f t="shared" si="31"/>
        <v>1</v>
      </c>
      <c r="G657" s="6"/>
      <c r="H657" s="6"/>
    </row>
    <row r="658" spans="1:8" x14ac:dyDescent="0.35">
      <c r="A658" s="7"/>
      <c r="B658" s="5"/>
      <c r="C658" s="5"/>
      <c r="D658" s="5"/>
      <c r="E658" s="5">
        <f t="shared" si="44"/>
        <v>1</v>
      </c>
      <c r="F658" s="5" t="str">
        <f t="shared" si="31"/>
        <v>1</v>
      </c>
      <c r="G658" s="6"/>
      <c r="H658" s="6"/>
    </row>
  </sheetData>
  <autoFilter ref="A1:H658" xr:uid="{CD0DB41C-1229-4A2D-AB76-57C35A8F00D8}"/>
  <phoneticPr fontId="2"/>
  <dataValidations count="6">
    <dataValidation type="list" allowBlank="1" showInputMessage="1" showErrorMessage="1" sqref="D2:D527 D542:D658" xr:uid="{5B67F85E-9D17-4307-BDC6-AE83260D11C7}">
      <formula1>$L$2:$L$3</formula1>
    </dataValidation>
    <dataValidation type="list" allowBlank="1" showInputMessage="1" showErrorMessage="1" sqref="B1:B527 B542:B1048576" xr:uid="{2E3ACDB5-6551-4396-A88E-14FEB151CED4}">
      <formula1>$J$2:$J$19</formula1>
    </dataValidation>
    <dataValidation type="list" allowBlank="1" showInputMessage="1" showErrorMessage="1" sqref="C1:C527 C542:C1048576" xr:uid="{910F4386-FD7F-4F32-AAFF-0B1298D3FBEC}">
      <formula1>$K$2:$K$34</formula1>
    </dataValidation>
    <dataValidation type="list" allowBlank="1" showInputMessage="1" showErrorMessage="1" sqref="C528:C541" xr:uid="{548560BC-83A7-43D7-A592-816C2E9E4594}">
      <formula1>$L$3:$L$35</formula1>
    </dataValidation>
    <dataValidation type="list" allowBlank="1" showInputMessage="1" showErrorMessage="1" sqref="B528:B541" xr:uid="{6BCDE0D2-546F-46B0-966F-58798CFE2786}">
      <formula1>$K$3:$K$20</formula1>
    </dataValidation>
    <dataValidation type="list" allowBlank="1" showInputMessage="1" showErrorMessage="1" sqref="D528:D541" xr:uid="{C138CEA5-A90B-4094-95F2-FC921D916CE0}">
      <formula1>$M$3:$M$4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2026-04-11T23:07:47Z</dcterms:modified>
  <cp:category/>
  <cp:contentStatus/>
</cp:coreProperties>
</file>